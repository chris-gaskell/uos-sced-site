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EF0A3169-33C6-E2D0-F78B-2A1B1023552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l/Google Drive/Post-Doc/SCED Projects/SCED Teaching/Resource Pack/"/>
    </mc:Choice>
  </mc:AlternateContent>
  <xr:revisionPtr revIDLastSave="0" documentId="13_ncr:1_{648845C5-5BA4-DD4C-8A22-9FA23DE146DA}" xr6:coauthVersionLast="45" xr6:coauthVersionMax="45" xr10:uidLastSave="{00000000-0000-0000-0000-000000000000}"/>
  <bookViews>
    <workbookView xWindow="6320" yWindow="460" windowWidth="19280" windowHeight="13720" xr2:uid="{00000000-000D-0000-FFFF-FFFF00000000}"/>
  </bookViews>
  <sheets>
    <sheet name="Data" sheetId="1" r:id="rId1"/>
    <sheet name="Results" sheetId="3" r:id="rId2"/>
    <sheet name="chart-data" sheetId="4" r:id="rId3"/>
  </sheets>
  <definedNames>
    <definedName name="Direction">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C32" i="1"/>
  <c r="C33" i="1"/>
  <c r="B15" i="4" s="1"/>
  <c r="C16" i="3"/>
  <c r="C17" i="3" s="1"/>
  <c r="B9" i="4" s="1"/>
  <c r="C34" i="1"/>
  <c r="D1" i="4"/>
  <c r="D2" i="4"/>
  <c r="B21" i="4"/>
  <c r="B6" i="4" s="1"/>
  <c r="B20" i="4"/>
  <c r="B5" i="4" s="1"/>
  <c r="B19" i="4"/>
  <c r="M2" i="4"/>
  <c r="B17" i="4"/>
  <c r="B2" i="4"/>
  <c r="B4" i="4"/>
  <c r="B3" i="4"/>
  <c r="B1" i="4"/>
  <c r="B18" i="4" s="1"/>
  <c r="L2" i="4"/>
  <c r="J2" i="4"/>
  <c r="C5" i="3"/>
  <c r="E508" i="1"/>
  <c r="E507" i="1"/>
  <c r="C3" i="3"/>
  <c r="K2" i="4"/>
  <c r="B14" i="4" l="1"/>
  <c r="B7" i="4"/>
  <c r="B8" i="4" s="1"/>
  <c r="B10" i="4" s="1"/>
  <c r="B11" i="4" s="1"/>
  <c r="B13" i="4" s="1"/>
  <c r="B12" i="4"/>
  <c r="C11" i="1"/>
  <c r="J11" i="4" s="1"/>
  <c r="M11" i="4" s="1"/>
  <c r="B16" i="4"/>
  <c r="J13" i="4" l="1"/>
  <c r="M13" i="4" s="1"/>
  <c r="I14" i="4"/>
  <c r="L14" i="4" s="1"/>
  <c r="I13" i="4"/>
  <c r="L13" i="4" s="1"/>
  <c r="I11" i="4"/>
  <c r="L11" i="4" s="1"/>
  <c r="I12" i="4"/>
  <c r="L12" i="4" s="1"/>
  <c r="J12" i="4"/>
  <c r="M12" i="4" s="1"/>
  <c r="F2" i="4"/>
  <c r="H2" i="4"/>
  <c r="G2" i="4"/>
  <c r="J14" i="4"/>
  <c r="M14" i="4" s="1"/>
  <c r="L18" i="4" s="1"/>
  <c r="J18" i="4" l="1"/>
  <c r="H18" i="4" s="1"/>
  <c r="C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medcnd</author>
  </authors>
  <commentList>
    <comment ref="D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medcnd:</t>
        </r>
        <r>
          <rPr>
            <sz val="8"/>
            <color indexed="81"/>
            <rFont val="Tahoma"/>
            <family val="2"/>
          </rPr>
          <t xml:space="preserve">
used to change upper and lower CI when non-zero starting point</t>
        </r>
      </text>
    </comment>
  </commentList>
</comments>
</file>

<file path=xl/sharedStrings.xml><?xml version="1.0" encoding="utf-8"?>
<sst xmlns="http://schemas.openxmlformats.org/spreadsheetml/2006/main" count="79" uniqueCount="72">
  <si>
    <t>Data entry</t>
  </si>
  <si>
    <t>Lowest</t>
  </si>
  <si>
    <t>Highest</t>
  </si>
  <si>
    <t>Direction of clinical gain</t>
  </si>
  <si>
    <t>Reference data for CSC</t>
  </si>
  <si>
    <t>Mean of clinical norms</t>
  </si>
  <si>
    <t>SD for clinical norms</t>
  </si>
  <si>
    <t>Mean of comparison norms</t>
  </si>
  <si>
    <t>SD for comparison norms</t>
  </si>
  <si>
    <t>CSC criteria</t>
  </si>
  <si>
    <t>Range of scores permissible</t>
  </si>
  <si>
    <t>Results for measure</t>
  </si>
  <si>
    <t>CSC criterion</t>
  </si>
  <si>
    <t xml:space="preserve">and </t>
  </si>
  <si>
    <t>RCI value</t>
  </si>
  <si>
    <t>Standard Error of Measurement</t>
  </si>
  <si>
    <t>Reliable Change Index</t>
  </si>
  <si>
    <t>Which cut score are you using?</t>
  </si>
  <si>
    <t>Criterion a</t>
  </si>
  <si>
    <t>Criterion b</t>
  </si>
  <si>
    <t>Criterion c</t>
  </si>
  <si>
    <t>External criterion</t>
  </si>
  <si>
    <t>Reliability of the measure</t>
  </si>
  <si>
    <t xml:space="preserve">    </t>
  </si>
  <si>
    <t>The starting point on the graph</t>
  </si>
  <si>
    <t>What is the maximum score on your measure?</t>
  </si>
  <si>
    <t>Reliability for measure or subscale</t>
  </si>
  <si>
    <t>What was the client's score on the measure on initial assessment?</t>
  </si>
  <si>
    <t>What was the client's score on the measure on final assessment?</t>
  </si>
  <si>
    <t>Standard Error of Measurement (SeM)</t>
  </si>
  <si>
    <t>Standard Error of Difference (SeDiff)</t>
  </si>
  <si>
    <t xml:space="preserve">Reliable Change Index (RCI) </t>
  </si>
  <si>
    <t xml:space="preserve">Upper RCI Confidence limit </t>
  </si>
  <si>
    <t>Lower RCI confidence limit</t>
  </si>
  <si>
    <t>Upper RCI for plotting tramline display</t>
  </si>
  <si>
    <t>Lower RCI for plotting tramline display</t>
  </si>
  <si>
    <t>Criterion ''a' for clinical significance</t>
  </si>
  <si>
    <t>Criterion 'b' for clinical significance</t>
  </si>
  <si>
    <t>The starting point for the lines of clinical significance</t>
  </si>
  <si>
    <t>What is the Standard deviation for the Clinical population in the measure?</t>
  </si>
  <si>
    <t>Criterion 'c' for clinical significance</t>
  </si>
  <si>
    <t>no change</t>
  </si>
  <si>
    <t>deteriorate</t>
  </si>
  <si>
    <t>reliable change</t>
  </si>
  <si>
    <t>crit a</t>
  </si>
  <si>
    <t>crit b</t>
  </si>
  <si>
    <t>crit c</t>
  </si>
  <si>
    <t>external crit</t>
  </si>
  <si>
    <t>Client Score Pre</t>
  </si>
  <si>
    <t>Client Score Post</t>
  </si>
  <si>
    <t>Chart title</t>
  </si>
  <si>
    <t xml:space="preserve"> </t>
  </si>
  <si>
    <t>Patient ID</t>
  </si>
  <si>
    <t>Pretreatment score</t>
  </si>
  <si>
    <t>Post treatment score</t>
  </si>
  <si>
    <t>Absolute change score</t>
  </si>
  <si>
    <t>CSC?</t>
  </si>
  <si>
    <t>Reliable change?</t>
  </si>
  <si>
    <t>Name of measure</t>
  </si>
  <si>
    <t>Measure</t>
  </si>
  <si>
    <t>The "Calculate results" button must be clicked in order for the chart to be updated.</t>
  </si>
  <si>
    <t>increase</t>
  </si>
  <si>
    <t>decrease</t>
  </si>
  <si>
    <t>A</t>
  </si>
  <si>
    <t>B</t>
  </si>
  <si>
    <t>C</t>
  </si>
  <si>
    <t>E</t>
  </si>
  <si>
    <t>external criterion</t>
  </si>
  <si>
    <t>vlookup for inc</t>
  </si>
  <si>
    <t>vlookup for dec</t>
  </si>
  <si>
    <t>vlookup for inc and dec</t>
  </si>
  <si>
    <t>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</si>
</sst>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0"/>
      <name val="Arial"/>
      <family val="2"/>
    </font>
    <font>
      <b/>
      <sz val="16"/>
      <color rgb="FF00000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7" fillId="0" borderId="0" applyNumberFormat="0" applyFill="0" applyBorder="0" applyAlignment="0" applyProtection="0"/>
  </cellStyleXfs>
  <cellXfs count="51">
    <xf numFmtId="0" fontId="0" fillId="0" borderId="0" xfId="0"/>
    <xf numFmtId="0" fontId="2" fillId="2" borderId="0" xfId="0" applyFont="1" applyFill="1"/>
    <xf numFmtId="0" fontId="1" fillId="4" borderId="0" xfId="0" applyFont="1" applyFill="1"/>
    <xf numFmtId="49" fontId="6" fillId="4" borderId="0" xfId="0" applyNumberFormat="1" applyFont="1" applyFill="1" applyAlignment="1">
      <alignment horizontal="right"/>
    </xf>
    <xf numFmtId="0" fontId="2" fillId="4" borderId="0" xfId="0" applyFont="1" applyFill="1"/>
    <xf numFmtId="0" fontId="2" fillId="4" borderId="0" xfId="0" applyFont="1" applyFill="1" applyAlignment="1">
      <alignment horizontal="right"/>
    </xf>
    <xf numFmtId="2" fontId="2" fillId="4" borderId="0" xfId="0" applyNumberFormat="1" applyFont="1" applyFill="1"/>
    <xf numFmtId="0" fontId="2" fillId="2" borderId="0" xfId="0" applyFont="1" applyFill="1" applyProtection="1">
      <protection locked="0"/>
    </xf>
    <xf numFmtId="0" fontId="1" fillId="2" borderId="0" xfId="0" applyFont="1" applyFill="1" applyProtection="1">
      <protection locked="0"/>
    </xf>
    <xf numFmtId="0" fontId="2" fillId="2" borderId="2" xfId="0" applyFont="1" applyFill="1" applyBorder="1" applyProtection="1">
      <protection locked="0"/>
    </xf>
    <xf numFmtId="0" fontId="2" fillId="2" borderId="4" xfId="0" applyFont="1" applyFill="1" applyBorder="1" applyProtection="1">
      <protection locked="0"/>
    </xf>
    <xf numFmtId="49" fontId="2" fillId="3" borderId="4" xfId="0" applyNumberFormat="1" applyFont="1" applyFill="1" applyBorder="1" applyAlignment="1" applyProtection="1">
      <alignment horizontal="center"/>
      <protection locked="0"/>
    </xf>
    <xf numFmtId="2" fontId="2" fillId="3" borderId="4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Protection="1"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Protection="1">
      <protection locked="0"/>
    </xf>
    <xf numFmtId="0" fontId="4" fillId="2" borderId="0" xfId="1" applyFont="1" applyFill="1" applyProtection="1">
      <protection locked="0"/>
    </xf>
    <xf numFmtId="0" fontId="5" fillId="2" borderId="0" xfId="1" applyFont="1" applyFill="1" applyProtection="1">
      <protection locked="0"/>
    </xf>
    <xf numFmtId="0" fontId="4" fillId="2" borderId="0" xfId="1" applyFont="1" applyFill="1" applyAlignment="1" applyProtection="1">
      <alignment horizontal="center"/>
      <protection locked="0"/>
    </xf>
    <xf numFmtId="2" fontId="1" fillId="2" borderId="0" xfId="0" applyNumberFormat="1" applyFont="1" applyFill="1" applyProtection="1">
      <protection locked="0"/>
    </xf>
    <xf numFmtId="0" fontId="1" fillId="2" borderId="0" xfId="0" applyFont="1" applyFill="1" applyAlignment="1" applyProtection="1">
      <alignment horizontal="center"/>
    </xf>
    <xf numFmtId="0" fontId="4" fillId="2" borderId="0" xfId="0" applyFont="1" applyFill="1" applyAlignment="1" applyProtection="1">
      <alignment horizontal="center"/>
    </xf>
    <xf numFmtId="0" fontId="2" fillId="2" borderId="0" xfId="0" applyFont="1" applyFill="1" applyProtection="1"/>
    <xf numFmtId="1" fontId="2" fillId="2" borderId="0" xfId="0" applyNumberFormat="1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center"/>
    </xf>
    <xf numFmtId="0" fontId="5" fillId="2" borderId="0" xfId="0" applyFont="1" applyFill="1" applyAlignment="1" applyProtection="1">
      <alignment horizontal="center"/>
    </xf>
    <xf numFmtId="0" fontId="1" fillId="2" borderId="1" xfId="0" applyFont="1" applyFill="1" applyBorder="1" applyProtection="1"/>
    <xf numFmtId="0" fontId="2" fillId="2" borderId="3" xfId="0" applyFont="1" applyFill="1" applyBorder="1" applyProtection="1"/>
    <xf numFmtId="0" fontId="2" fillId="2" borderId="3" xfId="0" applyFont="1" applyFill="1" applyBorder="1" applyAlignment="1" applyProtection="1">
      <alignment horizontal="right"/>
    </xf>
    <xf numFmtId="0" fontId="1" fillId="2" borderId="3" xfId="0" applyFont="1" applyFill="1" applyBorder="1" applyProtection="1"/>
    <xf numFmtId="0" fontId="1" fillId="2" borderId="3" xfId="0" applyFont="1" applyFill="1" applyBorder="1" applyAlignment="1" applyProtection="1">
      <alignment horizontal="left"/>
    </xf>
    <xf numFmtId="0" fontId="2" fillId="2" borderId="5" xfId="0" applyFont="1" applyFill="1" applyBorder="1" applyProtection="1"/>
    <xf numFmtId="0" fontId="1" fillId="2" borderId="0" xfId="0" applyFont="1" applyFill="1" applyAlignment="1" applyProtection="1">
      <alignment horizontal="right"/>
    </xf>
    <xf numFmtId="0" fontId="2" fillId="2" borderId="4" xfId="0" applyFont="1" applyFill="1" applyBorder="1" applyAlignment="1" applyProtection="1">
      <alignment horizontal="center"/>
    </xf>
    <xf numFmtId="2" fontId="2" fillId="2" borderId="4" xfId="0" applyNumberFormat="1" applyFont="1" applyFill="1" applyBorder="1" applyAlignment="1" applyProtection="1">
      <alignment horizontal="center"/>
    </xf>
    <xf numFmtId="2" fontId="2" fillId="4" borderId="0" xfId="0" applyNumberFormat="1" applyFont="1" applyFill="1" applyAlignment="1">
      <alignment horizontal="right"/>
    </xf>
    <xf numFmtId="0" fontId="2" fillId="4" borderId="0" xfId="0" applyFont="1" applyFill="1" applyAlignment="1">
      <alignment horizontal="left"/>
    </xf>
    <xf numFmtId="0" fontId="0" fillId="0" borderId="0" xfId="0" applyNumberFormat="1"/>
    <xf numFmtId="2" fontId="8" fillId="0" borderId="0" xfId="2" applyNumberFormat="1" applyFont="1"/>
    <xf numFmtId="2" fontId="0" fillId="0" borderId="0" xfId="0" applyNumberFormat="1"/>
    <xf numFmtId="0" fontId="2" fillId="0" borderId="0" xfId="0" applyFont="1" applyFill="1" applyProtection="1"/>
    <xf numFmtId="0" fontId="2" fillId="2" borderId="0" xfId="0" applyFont="1" applyFill="1" applyAlignment="1">
      <alignment horizontal="right"/>
    </xf>
    <xf numFmtId="0" fontId="1" fillId="2" borderId="0" xfId="0" applyFont="1" applyFill="1"/>
    <xf numFmtId="1" fontId="2" fillId="2" borderId="0" xfId="0" applyNumberFormat="1" applyFont="1" applyFill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2" fillId="2" borderId="4" xfId="0" applyFont="1" applyFill="1" applyBorder="1" applyProtection="1"/>
    <xf numFmtId="1" fontId="2" fillId="3" borderId="4" xfId="0" applyNumberFormat="1" applyFont="1" applyFill="1" applyBorder="1" applyProtection="1">
      <protection locked="0"/>
    </xf>
    <xf numFmtId="0" fontId="0" fillId="5" borderId="0" xfId="0" applyFill="1"/>
    <xf numFmtId="0" fontId="2" fillId="5" borderId="0" xfId="0" applyFont="1" applyFill="1" applyProtection="1"/>
    <xf numFmtId="0" fontId="2" fillId="2" borderId="4" xfId="0" applyNumberFormat="1" applyFont="1" applyFill="1" applyBorder="1" applyAlignment="1" applyProtection="1">
      <alignment horizont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1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1FC381"/>
      <color rgb="FF04AC04"/>
      <color rgb="FF34DC5C"/>
      <color rgb="FF00CC99"/>
      <color rgb="FF66FFCC"/>
      <color rgb="FFF3B25B"/>
      <color rgb="FFFF9999"/>
      <color rgb="FF97DBC4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'chart-data'!$B$19</c:f>
          <c:strCache>
            <c:ptCount val="1"/>
            <c:pt idx="0">
              <c:v>Plot for  using Criterion c</c:v>
            </c:pt>
          </c:strCache>
        </c:strRef>
      </c:tx>
      <c:layout>
        <c:manualLayout>
          <c:xMode val="edge"/>
          <c:yMode val="edge"/>
          <c:x val="0.19965885589602508"/>
          <c:y val="0.93583862886195968"/>
        </c:manualLayout>
      </c:layout>
      <c:overlay val="1"/>
      <c:txPr>
        <a:bodyPr/>
        <a:lstStyle/>
        <a:p>
          <a:pPr>
            <a:defRPr sz="1400" baseline="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79734535005723E-2"/>
          <c:y val="1.5012348548682337E-2"/>
          <c:w val="0.60335090555964832"/>
          <c:h val="0.85889492595713357"/>
        </c:manualLayout>
      </c:layout>
      <c:scatterChart>
        <c:scatterStyle val="lineMarker"/>
        <c:varyColors val="0"/>
        <c:ser>
          <c:idx val="1"/>
          <c:order val="0"/>
          <c:tx>
            <c:v>Line of no change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Data!$C$17:$C$18</c:f>
              <c:numCache>
                <c:formatCode>0.00</c:formatCode>
                <c:ptCount val="2"/>
              </c:numCache>
            </c:numRef>
          </c:xVal>
          <c:yVal>
            <c:numRef>
              <c:f>Data!$C$17:$C$18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B-8948-9DDF-2C9F83BA60DA}"/>
            </c:ext>
          </c:extLst>
        </c:ser>
        <c:ser>
          <c:idx val="2"/>
          <c:order val="1"/>
          <c:tx>
            <c:v>Upper RCI confidence limit</c:v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trendline>
            <c:name>Confidence Limits</c:name>
            <c:spPr>
              <a:ln w="6350">
                <a:prstDash val="sysDot"/>
              </a:ln>
            </c:spPr>
            <c:trendlineType val="linear"/>
            <c:dispRSqr val="0"/>
            <c:dispEq val="0"/>
          </c:trendline>
          <c:xVal>
            <c:numRef>
              <c:f>'chart-data'!$D$1:$D$2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('chart-data'!$B$10,'chart-data'!$B$12)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B-8948-9DDF-2C9F83BA60DA}"/>
            </c:ext>
          </c:extLst>
        </c:ser>
        <c:ser>
          <c:idx val="3"/>
          <c:order val="2"/>
          <c:tx>
            <c:v>Lower RCI confidence limit</c:v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trendline>
            <c:name>Confidence limits</c:name>
            <c:spPr>
              <a:ln w="6350" cmpd="sng">
                <a:solidFill>
                  <a:srgbClr val="FF0000"/>
                </a:solidFill>
                <a:prstDash val="sysDot"/>
              </a:ln>
              <a:effectLst>
                <a:outerShdw blurRad="50800" dist="50800" dir="5400000" algn="ctr" rotWithShape="0">
                  <a:srgbClr val="FF0000"/>
                </a:outerShdw>
              </a:effectLst>
            </c:spPr>
            <c:trendlineType val="linear"/>
            <c:dispRSqr val="0"/>
            <c:dispEq val="0"/>
          </c:trendline>
          <c:xVal>
            <c:numRef>
              <c:f>'chart-data'!$D$1:$D$2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('chart-data'!$B$11,'chart-data'!$B$13)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0B-8948-9DDF-2C9F83BA60DA}"/>
            </c:ext>
          </c:extLst>
        </c:ser>
        <c:ser>
          <c:idx val="4"/>
          <c:order val="3"/>
          <c:tx>
            <c:v>Criterion 'C' cut off score</c:v>
          </c:tx>
          <c:marker>
            <c:symbol val="none"/>
          </c:marke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('chart-data'!$L$2,'chart-data'!$L$2)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('chart-data'!$B$18,'chart-data'!$B$2)</c:f>
              <c:numCache>
                <c:formatCode>0.00</c:formatCode>
                <c:ptCount val="2"/>
                <c:pt idx="0">
                  <c:v>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0B-8948-9DDF-2C9F83BA60DA}"/>
            </c:ext>
          </c:extLst>
        </c:ser>
        <c:ser>
          <c:idx val="5"/>
          <c:order val="4"/>
          <c:tx>
            <c:v>Critereon 'C' for post-treatment score</c:v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('chart-data'!$B$18,'chart-data'!$B$2)</c:f>
              <c:numCache>
                <c:formatCode>0.00</c:formatCode>
                <c:ptCount val="2"/>
                <c:pt idx="0">
                  <c:v>-2</c:v>
                </c:pt>
                <c:pt idx="1">
                  <c:v>0</c:v>
                </c:pt>
              </c:numCache>
            </c:numRef>
          </c:xVal>
          <c:yVal>
            <c:numRef>
              <c:f>('chart-data'!$L$2,'chart-data'!$L$2)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0B-8948-9DDF-2C9F83BA60DA}"/>
            </c:ext>
          </c:extLst>
        </c:ser>
        <c:ser>
          <c:idx val="6"/>
          <c:order val="5"/>
          <c:tx>
            <c:v>critereon 'a' cut off score</c:v>
          </c:tx>
          <c:spPr>
            <a:ln>
              <a:prstDash val="dash"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('chart-data'!$J$2,'chart-data'!$J$2)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('chart-data'!$B$18,'chart-data'!$B$2)</c:f>
              <c:numCache>
                <c:formatCode>0.00</c:formatCode>
                <c:ptCount val="2"/>
                <c:pt idx="0">
                  <c:v>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30B-8948-9DDF-2C9F83BA60DA}"/>
            </c:ext>
          </c:extLst>
        </c:ser>
        <c:ser>
          <c:idx val="7"/>
          <c:order val="6"/>
          <c:tx>
            <c:v>Critereon 'a' for post-treatment score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('chart-data'!$B$18,'chart-data'!$B$2)</c:f>
              <c:numCache>
                <c:formatCode>0.00</c:formatCode>
                <c:ptCount val="2"/>
                <c:pt idx="0">
                  <c:v>-2</c:v>
                </c:pt>
                <c:pt idx="1">
                  <c:v>0</c:v>
                </c:pt>
              </c:numCache>
            </c:numRef>
          </c:xVal>
          <c:yVal>
            <c:numRef>
              <c:f>('chart-data'!$J$2,'chart-data'!$J$2)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30B-8948-9DDF-2C9F83BA60DA}"/>
            </c:ext>
          </c:extLst>
        </c:ser>
        <c:ser>
          <c:idx val="8"/>
          <c:order val="7"/>
          <c:tx>
            <c:v>Critereon 'b' cut off score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('chart-data'!$K$2,'chart-data'!$K$2)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('chart-data'!$B$18,'chart-data'!$B$2)</c:f>
              <c:numCache>
                <c:formatCode>0.00</c:formatCode>
                <c:ptCount val="2"/>
                <c:pt idx="0">
                  <c:v>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30B-8948-9DDF-2C9F83BA60DA}"/>
            </c:ext>
          </c:extLst>
        </c:ser>
        <c:ser>
          <c:idx val="9"/>
          <c:order val="8"/>
          <c:tx>
            <c:v>Critereon 'b' for post-treatment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('chart-data'!$B$18,'chart-data'!$B$2)</c:f>
              <c:numCache>
                <c:formatCode>0.00</c:formatCode>
                <c:ptCount val="2"/>
                <c:pt idx="0">
                  <c:v>-2</c:v>
                </c:pt>
                <c:pt idx="1">
                  <c:v>0</c:v>
                </c:pt>
              </c:numCache>
            </c:numRef>
          </c:xVal>
          <c:yVal>
            <c:numRef>
              <c:f>('chart-data'!$K$2,'chart-data'!$K$2)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30B-8948-9DDF-2C9F83BA60DA}"/>
            </c:ext>
          </c:extLst>
        </c:ser>
        <c:ser>
          <c:idx val="10"/>
          <c:order val="9"/>
          <c:tx>
            <c:strRef>
              <c:f>'chart-data'!$F$1</c:f>
              <c:strCache>
                <c:ptCount val="1"/>
                <c:pt idx="0">
                  <c:v>reliable change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6"/>
            <c:spPr>
              <a:solidFill>
                <a:srgbClr val="1FC381"/>
              </a:solidFill>
              <a:ln>
                <a:noFill/>
              </a:ln>
            </c:spPr>
          </c:marker>
          <c:xVal>
            <c:numRef>
              <c:f>Data!$C$8</c:f>
              <c:numCache>
                <c:formatCode>General</c:formatCode>
                <c:ptCount val="1"/>
              </c:numCache>
            </c:numRef>
          </c:xVal>
          <c:yVal>
            <c:numRef>
              <c:f>'chart-data'!$F$2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30B-8948-9DDF-2C9F83BA60DA}"/>
            </c:ext>
          </c:extLst>
        </c:ser>
        <c:ser>
          <c:idx val="11"/>
          <c:order val="10"/>
          <c:tx>
            <c:strRef>
              <c:f>'chart-data'!$G$1</c:f>
              <c:strCache>
                <c:ptCount val="1"/>
                <c:pt idx="0">
                  <c:v>no change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7"/>
            <c:spPr>
              <a:solidFill>
                <a:srgbClr val="FFC000"/>
              </a:solidFill>
            </c:spPr>
          </c:marker>
          <c:xVal>
            <c:numRef>
              <c:f>Data!$C$8</c:f>
              <c:numCache>
                <c:formatCode>General</c:formatCode>
                <c:ptCount val="1"/>
              </c:numCache>
            </c:numRef>
          </c:xVal>
          <c:yVal>
            <c:numRef>
              <c:f>'chart-data'!$G$2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30B-8948-9DDF-2C9F83BA60DA}"/>
            </c:ext>
          </c:extLst>
        </c:ser>
        <c:ser>
          <c:idx val="12"/>
          <c:order val="11"/>
          <c:tx>
            <c:strRef>
              <c:f>'chart-data'!$H$1</c:f>
              <c:strCache>
                <c:ptCount val="1"/>
                <c:pt idx="0">
                  <c:v>deteriorate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Data!$C$8</c:f>
              <c:numCache>
                <c:formatCode>General</c:formatCode>
                <c:ptCount val="1"/>
              </c:numCache>
            </c:numRef>
          </c:xVal>
          <c:yVal>
            <c:numRef>
              <c:f>'chart-data'!$H$2:$H$2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30B-8948-9DDF-2C9F83BA60DA}"/>
            </c:ext>
          </c:extLst>
        </c:ser>
        <c:ser>
          <c:idx val="13"/>
          <c:order val="12"/>
          <c:tx>
            <c:v>External cut off score</c:v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('chart-data'!$M$2,'chart-data'!$M$2)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('chart-data'!$B$18,'chart-data'!$B$2)</c:f>
              <c:numCache>
                <c:formatCode>0.00</c:formatCode>
                <c:ptCount val="2"/>
                <c:pt idx="0">
                  <c:v>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30B-8948-9DDF-2C9F83BA60DA}"/>
            </c:ext>
          </c:extLst>
        </c:ser>
        <c:ser>
          <c:idx val="14"/>
          <c:order val="13"/>
          <c:tx>
            <c:v>External criterion post</c:v>
          </c:tx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20-330B-8948-9DDF-2C9F83BA60DA}"/>
              </c:ext>
            </c:extLst>
          </c:dPt>
          <c:xVal>
            <c:numRef>
              <c:f>('chart-data'!$B$18,'chart-data'!$B$2)</c:f>
              <c:numCache>
                <c:formatCode>0.00</c:formatCode>
                <c:ptCount val="2"/>
                <c:pt idx="0">
                  <c:v>-2</c:v>
                </c:pt>
                <c:pt idx="1">
                  <c:v>0</c:v>
                </c:pt>
              </c:numCache>
            </c:numRef>
          </c:xVal>
          <c:yVal>
            <c:numRef>
              <c:f>('chart-data'!$M$2,'chart-data'!$M$2)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30B-8948-9DDF-2C9F83BA6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54720"/>
        <c:axId val="108256640"/>
      </c:scatterChart>
      <c:valAx>
        <c:axId val="108254720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aseline="0"/>
                  <a:t>Pre-treatmen</a:t>
                </a:r>
                <a:r>
                  <a:rPr lang="en-US"/>
                  <a:t>t</a:t>
                </a:r>
              </a:p>
            </c:rich>
          </c:tx>
          <c:layout>
            <c:manualLayout>
              <c:xMode val="edge"/>
              <c:yMode val="edge"/>
              <c:x val="0.31192878601018248"/>
              <c:y val="0.8494195569994367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08256640"/>
        <c:crosses val="autoZero"/>
        <c:crossBetween val="midCat"/>
      </c:valAx>
      <c:valAx>
        <c:axId val="108256640"/>
        <c:scaling>
          <c:orientation val="minMax"/>
          <c:max val="1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Post-treatment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8254720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ayout>
        <c:manualLayout>
          <c:xMode val="edge"/>
          <c:yMode val="edge"/>
          <c:x val="0.72560609535458553"/>
          <c:y val="0.42929560838388026"/>
          <c:w val="0.16436154218586754"/>
          <c:h val="0.2307229778095919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39</xdr:row>
          <xdr:rowOff>0</xdr:rowOff>
        </xdr:from>
        <xdr:to>
          <xdr:col>2</xdr:col>
          <xdr:colOff>508000</xdr:colOff>
          <xdr:row>42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Calculate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3</xdr:row>
      <xdr:rowOff>28574</xdr:rowOff>
    </xdr:from>
    <xdr:to>
      <xdr:col>16</xdr:col>
      <xdr:colOff>428625</xdr:colOff>
      <xdr:row>28</xdr:row>
      <xdr:rowOff>76200</xdr:rowOff>
    </xdr:to>
    <xdr:graphicFrame macro="">
      <xdr:nvGraphicFramePr>
        <xdr:cNvPr id="2" name="Tramline display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0.71081</cdr:x>
      <cdr:y>0.69926</cdr:y>
    </cdr:from>
    <cdr:to>
      <cdr:x>0.94897</cdr:x>
      <cdr:y>0.78413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2125" y="3609975"/>
          <a:ext cx="1866900" cy="438150"/>
        </a:xfrm>
        <a:prstGeom xmlns:a="http://schemas.openxmlformats.org/drawingml/2006/main" prst="rect">
          <a:avLst/>
        </a:prstGeom>
        <a:ln xmlns:a="http://schemas.openxmlformats.org/drawingml/2006/main" w="38100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200" baseline="0">
              <a:ln w="12700" cmpd="sng">
                <a:solidFill>
                  <a:srgbClr val="0070C0"/>
                </a:solidFill>
                <a:prstDash val="dash"/>
              </a:ln>
              <a:solidFill>
                <a:srgbClr val="0070C0"/>
              </a:solidFill>
            </a:rPr>
            <a:t>---  ---  </a:t>
          </a:r>
          <a:r>
            <a:rPr lang="en-GB" sz="1100"/>
            <a:t>cut off score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09"/>
  <sheetViews>
    <sheetView showGridLines="0" tabSelected="1" showRuler="0" zoomScaleNormal="100" workbookViewId="0">
      <selection activeCell="C9" sqref="C9"/>
    </sheetView>
  </sheetViews>
  <sheetFormatPr baseColWidth="10" defaultColWidth="9.1640625" defaultRowHeight="14" x14ac:dyDescent="0.2"/>
  <cols>
    <col min="1" max="1" width="34" style="7" customWidth="1"/>
    <col min="2" max="2" width="31.5" style="7" customWidth="1"/>
    <col min="3" max="3" width="41.33203125" style="7" customWidth="1"/>
    <col min="4" max="4" width="15.83203125" style="25" customWidth="1"/>
    <col min="5" max="5" width="17.6640625" style="25" customWidth="1"/>
    <col min="6" max="6" width="20" style="26" customWidth="1"/>
    <col min="7" max="7" width="4" style="23" customWidth="1"/>
    <col min="8" max="11" width="8.83203125" customWidth="1"/>
    <col min="12" max="16384" width="9.1640625" style="7"/>
  </cols>
  <sheetData>
    <row r="1" spans="1:6" x14ac:dyDescent="0.2">
      <c r="A1" s="8" t="s">
        <v>60</v>
      </c>
      <c r="B1" s="8"/>
      <c r="C1" s="8"/>
      <c r="D1" s="21"/>
      <c r="E1" s="21"/>
      <c r="F1" s="22"/>
    </row>
    <row r="2" spans="1:6" x14ac:dyDescent="0.2">
      <c r="A2" s="44"/>
      <c r="B2" s="44"/>
      <c r="C2" s="44"/>
      <c r="D2" s="24"/>
    </row>
    <row r="3" spans="1:6" x14ac:dyDescent="0.2">
      <c r="D3" s="23"/>
      <c r="E3" s="23"/>
    </row>
    <row r="4" spans="1:6" ht="15" thickBot="1" x14ac:dyDescent="0.25">
      <c r="D4" s="23"/>
      <c r="E4" s="23"/>
    </row>
    <row r="5" spans="1:6" x14ac:dyDescent="0.2">
      <c r="B5" s="27" t="s">
        <v>0</v>
      </c>
      <c r="C5" s="9"/>
      <c r="D5" s="23"/>
      <c r="E5" s="23"/>
    </row>
    <row r="6" spans="1:6" x14ac:dyDescent="0.2">
      <c r="B6" s="30"/>
      <c r="C6" s="10"/>
      <c r="D6" s="23"/>
      <c r="E6" s="23"/>
    </row>
    <row r="7" spans="1:6" x14ac:dyDescent="0.2">
      <c r="B7" s="30" t="s">
        <v>52</v>
      </c>
      <c r="C7" s="14"/>
      <c r="D7" s="23"/>
      <c r="E7" s="23"/>
    </row>
    <row r="8" spans="1:6" x14ac:dyDescent="0.2">
      <c r="B8" s="28" t="s">
        <v>53</v>
      </c>
      <c r="C8" s="14"/>
      <c r="D8" s="23"/>
      <c r="E8" s="23"/>
    </row>
    <row r="9" spans="1:6" x14ac:dyDescent="0.2">
      <c r="B9" s="28" t="s">
        <v>54</v>
      </c>
      <c r="C9" s="47"/>
      <c r="D9" s="23"/>
      <c r="E9" s="23"/>
    </row>
    <row r="10" spans="1:6" x14ac:dyDescent="0.2">
      <c r="B10" s="29" t="s">
        <v>55</v>
      </c>
      <c r="C10" s="46" t="str">
        <f>IF(C8="","",IF(C19="Decrease",C8-C9,C9-C8))</f>
        <v/>
      </c>
      <c r="D10" s="7"/>
      <c r="E10" s="23"/>
    </row>
    <row r="11" spans="1:6" x14ac:dyDescent="0.2">
      <c r="B11" s="29" t="s">
        <v>57</v>
      </c>
      <c r="C11" s="34" t="str">
        <f>IF(C8="","",IF(C10&gt;Results!$C$17,"Improve",IF(C10&lt;-Results!$C$17,"Deteriorate","No Change")))</f>
        <v/>
      </c>
      <c r="D11" s="23"/>
      <c r="E11" s="23"/>
    </row>
    <row r="12" spans="1:6" x14ac:dyDescent="0.2">
      <c r="A12" s="10"/>
      <c r="B12" s="45" t="s">
        <v>56</v>
      </c>
      <c r="C12" s="50" t="e">
        <f>'chart-data'!$H$18</f>
        <v>#DIV/0!</v>
      </c>
      <c r="D12" s="23"/>
      <c r="E12" s="23"/>
    </row>
    <row r="13" spans="1:6" x14ac:dyDescent="0.2">
      <c r="B13" s="30"/>
      <c r="C13" s="10"/>
      <c r="D13" s="23"/>
      <c r="E13" s="23"/>
    </row>
    <row r="14" spans="1:6" x14ac:dyDescent="0.2">
      <c r="B14" s="30" t="s">
        <v>59</v>
      </c>
      <c r="C14" s="10"/>
      <c r="D14" s="23"/>
      <c r="E14" s="23"/>
    </row>
    <row r="15" spans="1:6" x14ac:dyDescent="0.2">
      <c r="B15" s="28" t="s">
        <v>58</v>
      </c>
      <c r="C15" s="11"/>
      <c r="D15" s="23"/>
      <c r="E15" s="23"/>
    </row>
    <row r="16" spans="1:6" x14ac:dyDescent="0.2">
      <c r="B16" s="28" t="s">
        <v>10</v>
      </c>
      <c r="C16" s="10"/>
      <c r="D16" s="23"/>
      <c r="E16" s="23"/>
    </row>
    <row r="17" spans="2:5" x14ac:dyDescent="0.2">
      <c r="B17" s="29" t="s">
        <v>1</v>
      </c>
      <c r="C17" s="12"/>
      <c r="D17" s="23"/>
      <c r="E17" s="23"/>
    </row>
    <row r="18" spans="2:5" x14ac:dyDescent="0.2">
      <c r="B18" s="29" t="s">
        <v>2</v>
      </c>
      <c r="C18" s="12"/>
      <c r="D18" s="23"/>
      <c r="E18" s="23"/>
    </row>
    <row r="19" spans="2:5" x14ac:dyDescent="0.2">
      <c r="B19" s="28" t="s">
        <v>3</v>
      </c>
      <c r="C19" s="13" t="s">
        <v>71</v>
      </c>
      <c r="D19" s="23"/>
      <c r="E19" s="23"/>
    </row>
    <row r="20" spans="2:5" x14ac:dyDescent="0.2">
      <c r="B20" s="28"/>
      <c r="C20" s="10"/>
      <c r="D20" s="23"/>
      <c r="E20" s="23"/>
    </row>
    <row r="21" spans="2:5" x14ac:dyDescent="0.2">
      <c r="B21" s="28"/>
      <c r="C21" s="10"/>
      <c r="D21" s="23"/>
      <c r="E21" s="23"/>
    </row>
    <row r="22" spans="2:5" x14ac:dyDescent="0.2">
      <c r="B22" s="28"/>
      <c r="C22" s="10"/>
      <c r="D22" s="23"/>
      <c r="E22" s="23"/>
    </row>
    <row r="23" spans="2:5" x14ac:dyDescent="0.2">
      <c r="B23" s="28" t="s">
        <v>22</v>
      </c>
      <c r="C23" s="12"/>
      <c r="D23" s="23"/>
      <c r="E23" s="23"/>
    </row>
    <row r="24" spans="2:5" x14ac:dyDescent="0.2">
      <c r="B24" s="28"/>
      <c r="C24" s="14"/>
      <c r="D24" s="23"/>
      <c r="E24" s="23"/>
    </row>
    <row r="25" spans="2:5" x14ac:dyDescent="0.2">
      <c r="B25" s="30" t="s">
        <v>4</v>
      </c>
      <c r="C25" s="14"/>
      <c r="D25" s="23"/>
      <c r="E25" s="23"/>
    </row>
    <row r="26" spans="2:5" x14ac:dyDescent="0.2">
      <c r="B26" s="29" t="s">
        <v>5</v>
      </c>
      <c r="C26" s="12"/>
      <c r="D26" s="23"/>
      <c r="E26" s="23"/>
    </row>
    <row r="27" spans="2:5" x14ac:dyDescent="0.2">
      <c r="B27" s="29" t="s">
        <v>6</v>
      </c>
      <c r="C27" s="12"/>
      <c r="D27" s="23"/>
      <c r="E27" s="23"/>
    </row>
    <row r="28" spans="2:5" x14ac:dyDescent="0.2">
      <c r="B28" s="29" t="s">
        <v>7</v>
      </c>
      <c r="C28" s="12"/>
      <c r="D28" s="23"/>
      <c r="E28" s="23"/>
    </row>
    <row r="29" spans="2:5" x14ac:dyDescent="0.2">
      <c r="B29" s="29" t="s">
        <v>8</v>
      </c>
      <c r="C29" s="12"/>
      <c r="D29" s="23"/>
      <c r="E29" s="23"/>
    </row>
    <row r="30" spans="2:5" x14ac:dyDescent="0.2">
      <c r="B30" s="28"/>
      <c r="C30" s="15"/>
      <c r="D30" s="23"/>
      <c r="E30" s="23"/>
    </row>
    <row r="31" spans="2:5" x14ac:dyDescent="0.2">
      <c r="B31" s="31" t="s">
        <v>9</v>
      </c>
      <c r="C31" s="10"/>
      <c r="D31" s="23"/>
      <c r="E31" s="23"/>
    </row>
    <row r="32" spans="2:5" x14ac:dyDescent="0.2">
      <c r="B32" s="29" t="s">
        <v>18</v>
      </c>
      <c r="C32" s="35">
        <f>IF(C19="Decrease",C26-1.96*C27,C26+1.96*C27)</f>
        <v>0</v>
      </c>
      <c r="D32" s="23"/>
      <c r="E32" s="23"/>
    </row>
    <row r="33" spans="2:7" x14ac:dyDescent="0.2">
      <c r="B33" s="29" t="s">
        <v>19</v>
      </c>
      <c r="C33" s="35">
        <f>IF(C19="Decrease",C28+1.96*C29,C28-1.96*C29)</f>
        <v>0</v>
      </c>
      <c r="D33" s="23"/>
      <c r="E33" s="23"/>
    </row>
    <row r="34" spans="2:7" x14ac:dyDescent="0.2">
      <c r="B34" s="29" t="s">
        <v>20</v>
      </c>
      <c r="C34" s="35" t="e">
        <f>(C26*C29+C28*C27)/(C27+C29)</f>
        <v>#DIV/0!</v>
      </c>
      <c r="D34" s="23"/>
      <c r="E34" s="23"/>
    </row>
    <row r="35" spans="2:7" x14ac:dyDescent="0.2">
      <c r="B35" s="29" t="s">
        <v>21</v>
      </c>
      <c r="C35" s="13"/>
      <c r="D35" s="23"/>
      <c r="E35" s="23"/>
    </row>
    <row r="36" spans="2:7" x14ac:dyDescent="0.2">
      <c r="B36" s="28"/>
      <c r="C36" s="10"/>
      <c r="D36" s="23"/>
      <c r="E36" s="23"/>
    </row>
    <row r="37" spans="2:7" x14ac:dyDescent="0.2">
      <c r="B37" s="29" t="s">
        <v>17</v>
      </c>
      <c r="C37" s="13" t="s">
        <v>20</v>
      </c>
      <c r="D37" s="23"/>
      <c r="E37" s="23"/>
    </row>
    <row r="38" spans="2:7" x14ac:dyDescent="0.2">
      <c r="B38" s="28"/>
      <c r="C38" s="10"/>
      <c r="D38" s="23"/>
      <c r="E38" s="23"/>
    </row>
    <row r="39" spans="2:7" x14ac:dyDescent="0.2">
      <c r="B39" s="29"/>
      <c r="C39" s="10"/>
      <c r="D39" s="23"/>
      <c r="E39" s="23"/>
      <c r="F39" s="23"/>
    </row>
    <row r="40" spans="2:7" x14ac:dyDescent="0.2">
      <c r="B40" s="28"/>
      <c r="C40" s="10"/>
      <c r="D40" s="23"/>
      <c r="E40" s="23"/>
      <c r="F40" s="23"/>
    </row>
    <row r="41" spans="2:7" x14ac:dyDescent="0.2">
      <c r="B41" s="28"/>
      <c r="C41" s="10"/>
      <c r="D41" s="23"/>
      <c r="E41" s="23"/>
      <c r="F41" s="23"/>
    </row>
    <row r="42" spans="2:7" x14ac:dyDescent="0.2">
      <c r="B42" s="28"/>
      <c r="C42" s="10"/>
      <c r="D42" s="23"/>
      <c r="E42" s="23"/>
      <c r="F42" s="33"/>
      <c r="G42" s="8"/>
    </row>
    <row r="43" spans="2:7" x14ac:dyDescent="0.2">
      <c r="B43" s="28"/>
      <c r="C43" s="10"/>
      <c r="D43" s="23"/>
      <c r="E43" s="23"/>
      <c r="F43" s="33"/>
      <c r="G43" s="17"/>
    </row>
    <row r="44" spans="2:7" ht="15" thickBot="1" x14ac:dyDescent="0.25">
      <c r="B44" s="32"/>
      <c r="C44" s="16"/>
      <c r="D44" s="23"/>
      <c r="E44" s="23"/>
      <c r="F44" s="33"/>
      <c r="G44" s="18"/>
    </row>
    <row r="45" spans="2:7" x14ac:dyDescent="0.2">
      <c r="D45" s="23"/>
      <c r="E45" s="23"/>
      <c r="F45" s="23"/>
      <c r="G45" s="18"/>
    </row>
    <row r="46" spans="2:7" x14ac:dyDescent="0.2">
      <c r="D46" s="23"/>
      <c r="E46" s="23"/>
      <c r="F46" s="23"/>
      <c r="G46" s="19"/>
    </row>
    <row r="47" spans="2:7" x14ac:dyDescent="0.2">
      <c r="D47" s="23"/>
      <c r="E47" s="23"/>
      <c r="F47" s="23"/>
      <c r="G47" s="19"/>
    </row>
    <row r="48" spans="2:7" x14ac:dyDescent="0.2">
      <c r="D48" s="23"/>
      <c r="E48" s="23"/>
      <c r="F48" s="23"/>
      <c r="G48" s="19"/>
    </row>
    <row r="49" spans="4:7" x14ac:dyDescent="0.2">
      <c r="D49" s="23"/>
      <c r="E49" s="23"/>
      <c r="F49" s="23"/>
      <c r="G49" s="7"/>
    </row>
    <row r="50" spans="4:7" x14ac:dyDescent="0.2">
      <c r="D50" s="23"/>
      <c r="E50" s="23"/>
      <c r="F50" s="23"/>
      <c r="G50" s="7"/>
    </row>
    <row r="51" spans="4:7" x14ac:dyDescent="0.2">
      <c r="D51" s="23"/>
      <c r="E51" s="23"/>
      <c r="F51" s="23"/>
      <c r="G51" s="20"/>
    </row>
    <row r="52" spans="4:7" x14ac:dyDescent="0.2">
      <c r="D52" s="23"/>
      <c r="E52" s="23"/>
      <c r="F52" s="23"/>
      <c r="G52" s="20"/>
    </row>
    <row r="53" spans="4:7" x14ac:dyDescent="0.2">
      <c r="D53" s="23"/>
      <c r="E53" s="23"/>
      <c r="F53" s="23"/>
      <c r="G53" s="20"/>
    </row>
    <row r="54" spans="4:7" x14ac:dyDescent="0.2">
      <c r="D54" s="23"/>
      <c r="E54" s="23"/>
      <c r="F54" s="23"/>
      <c r="G54" s="7"/>
    </row>
    <row r="55" spans="4:7" x14ac:dyDescent="0.2">
      <c r="D55" s="23"/>
      <c r="E55" s="23"/>
      <c r="F55" s="23"/>
      <c r="G55" s="7"/>
    </row>
    <row r="56" spans="4:7" x14ac:dyDescent="0.2">
      <c r="D56" s="23"/>
      <c r="E56" s="23"/>
      <c r="F56" s="23"/>
      <c r="G56" s="7"/>
    </row>
    <row r="57" spans="4:7" x14ac:dyDescent="0.2">
      <c r="D57" s="23"/>
      <c r="E57" s="23"/>
      <c r="F57" s="23"/>
      <c r="G57" s="7"/>
    </row>
    <row r="58" spans="4:7" x14ac:dyDescent="0.2">
      <c r="D58" s="23"/>
      <c r="E58" s="23"/>
      <c r="F58" s="23"/>
      <c r="G58" s="7"/>
    </row>
    <row r="59" spans="4:7" x14ac:dyDescent="0.2">
      <c r="D59" s="23"/>
      <c r="E59" s="23"/>
      <c r="F59" s="23"/>
      <c r="G59" s="7"/>
    </row>
    <row r="60" spans="4:7" x14ac:dyDescent="0.2">
      <c r="D60" s="23"/>
      <c r="E60" s="23"/>
      <c r="F60" s="23"/>
      <c r="G60" s="7"/>
    </row>
    <row r="61" spans="4:7" x14ac:dyDescent="0.2">
      <c r="D61" s="23"/>
      <c r="E61" s="23"/>
      <c r="F61" s="23"/>
      <c r="G61" s="7"/>
    </row>
    <row r="62" spans="4:7" x14ac:dyDescent="0.2">
      <c r="D62" s="23"/>
      <c r="E62" s="23"/>
      <c r="F62" s="23"/>
      <c r="G62" s="7"/>
    </row>
    <row r="63" spans="4:7" x14ac:dyDescent="0.2">
      <c r="D63" s="23"/>
      <c r="E63" s="23"/>
      <c r="F63" s="23"/>
      <c r="G63" s="7"/>
    </row>
    <row r="64" spans="4:7" x14ac:dyDescent="0.2">
      <c r="D64" s="23"/>
      <c r="E64" s="23"/>
      <c r="F64" s="23"/>
      <c r="G64" s="7"/>
    </row>
    <row r="65" spans="4:7" x14ac:dyDescent="0.2">
      <c r="D65" s="23"/>
      <c r="E65" s="23"/>
      <c r="F65" s="23"/>
      <c r="G65" s="7"/>
    </row>
    <row r="66" spans="4:7" x14ac:dyDescent="0.2">
      <c r="D66" s="23"/>
      <c r="E66" s="23"/>
      <c r="F66" s="23"/>
      <c r="G66" s="7"/>
    </row>
    <row r="67" spans="4:7" x14ac:dyDescent="0.2">
      <c r="D67" s="23"/>
      <c r="E67" s="23"/>
      <c r="F67" s="23"/>
      <c r="G67" s="7"/>
    </row>
    <row r="68" spans="4:7" x14ac:dyDescent="0.2">
      <c r="D68" s="23"/>
      <c r="E68" s="23"/>
      <c r="F68" s="23"/>
      <c r="G68" s="7"/>
    </row>
    <row r="69" spans="4:7" x14ac:dyDescent="0.2">
      <c r="D69" s="23"/>
      <c r="E69" s="23"/>
      <c r="F69" s="23"/>
      <c r="G69" s="7"/>
    </row>
    <row r="70" spans="4:7" x14ac:dyDescent="0.2">
      <c r="D70" s="23"/>
      <c r="E70" s="23"/>
      <c r="F70" s="23"/>
      <c r="G70" s="7"/>
    </row>
    <row r="71" spans="4:7" x14ac:dyDescent="0.2">
      <c r="D71" s="23"/>
      <c r="E71" s="23"/>
      <c r="F71" s="23"/>
      <c r="G71" s="7"/>
    </row>
    <row r="72" spans="4:7" x14ac:dyDescent="0.2">
      <c r="D72" s="23"/>
      <c r="E72" s="23"/>
      <c r="F72" s="23"/>
      <c r="G72" s="7"/>
    </row>
    <row r="73" spans="4:7" x14ac:dyDescent="0.2">
      <c r="D73" s="23"/>
      <c r="E73" s="23"/>
      <c r="F73" s="23"/>
      <c r="G73" s="7"/>
    </row>
    <row r="74" spans="4:7" x14ac:dyDescent="0.2">
      <c r="D74" s="23"/>
      <c r="E74" s="23"/>
      <c r="F74" s="23"/>
      <c r="G74" s="7"/>
    </row>
    <row r="75" spans="4:7" x14ac:dyDescent="0.2">
      <c r="D75" s="23"/>
      <c r="E75" s="23"/>
      <c r="F75" s="23"/>
      <c r="G75" s="7"/>
    </row>
    <row r="76" spans="4:7" x14ac:dyDescent="0.2">
      <c r="D76" s="23"/>
      <c r="E76" s="23"/>
      <c r="F76" s="23"/>
      <c r="G76" s="7"/>
    </row>
    <row r="77" spans="4:7" x14ac:dyDescent="0.2">
      <c r="D77" s="23"/>
      <c r="E77" s="23"/>
      <c r="F77" s="23"/>
      <c r="G77" s="7"/>
    </row>
    <row r="78" spans="4:7" x14ac:dyDescent="0.2">
      <c r="D78" s="23"/>
      <c r="E78" s="23"/>
      <c r="F78" s="23"/>
      <c r="G78" s="7"/>
    </row>
    <row r="79" spans="4:7" x14ac:dyDescent="0.2">
      <c r="D79" s="23"/>
      <c r="E79" s="23"/>
      <c r="F79" s="23"/>
      <c r="G79" s="7"/>
    </row>
    <row r="80" spans="4:7" x14ac:dyDescent="0.2">
      <c r="D80" s="23"/>
      <c r="E80" s="23"/>
      <c r="F80" s="23"/>
      <c r="G80" s="7"/>
    </row>
    <row r="81" spans="4:7" x14ac:dyDescent="0.2">
      <c r="D81" s="23"/>
      <c r="E81" s="23"/>
      <c r="F81" s="23"/>
      <c r="G81" s="7"/>
    </row>
    <row r="82" spans="4:7" x14ac:dyDescent="0.2">
      <c r="D82" s="23"/>
      <c r="E82" s="23"/>
      <c r="F82" s="23"/>
      <c r="G82" s="7"/>
    </row>
    <row r="83" spans="4:7" x14ac:dyDescent="0.2">
      <c r="D83" s="23"/>
      <c r="E83" s="23"/>
      <c r="F83" s="23"/>
      <c r="G83" s="7"/>
    </row>
    <row r="84" spans="4:7" x14ac:dyDescent="0.2">
      <c r="D84" s="23"/>
      <c r="E84" s="23"/>
      <c r="F84" s="23"/>
      <c r="G84" s="7"/>
    </row>
    <row r="85" spans="4:7" x14ac:dyDescent="0.2">
      <c r="D85" s="23"/>
      <c r="E85" s="23"/>
      <c r="F85" s="23"/>
      <c r="G85" s="7"/>
    </row>
    <row r="86" spans="4:7" x14ac:dyDescent="0.2">
      <c r="D86" s="23"/>
      <c r="E86" s="23"/>
      <c r="F86" s="23"/>
      <c r="G86" s="7"/>
    </row>
    <row r="87" spans="4:7" x14ac:dyDescent="0.2">
      <c r="D87" s="23"/>
      <c r="E87" s="23"/>
      <c r="F87" s="23"/>
      <c r="G87" s="7"/>
    </row>
    <row r="88" spans="4:7" x14ac:dyDescent="0.2">
      <c r="D88" s="23"/>
      <c r="E88" s="23"/>
      <c r="F88" s="23"/>
      <c r="G88" s="7"/>
    </row>
    <row r="89" spans="4:7" x14ac:dyDescent="0.2">
      <c r="D89" s="23"/>
      <c r="E89" s="23"/>
      <c r="F89" s="23"/>
      <c r="G89" s="7"/>
    </row>
    <row r="90" spans="4:7" x14ac:dyDescent="0.2">
      <c r="D90" s="23"/>
      <c r="E90" s="23"/>
      <c r="F90" s="23"/>
      <c r="G90" s="7"/>
    </row>
    <row r="91" spans="4:7" x14ac:dyDescent="0.2">
      <c r="D91" s="23"/>
      <c r="E91" s="23"/>
      <c r="F91" s="23"/>
      <c r="G91" s="7"/>
    </row>
    <row r="92" spans="4:7" x14ac:dyDescent="0.2">
      <c r="D92" s="23"/>
      <c r="E92" s="23"/>
      <c r="F92" s="23"/>
      <c r="G92" s="7"/>
    </row>
    <row r="93" spans="4:7" x14ac:dyDescent="0.2">
      <c r="D93" s="23"/>
      <c r="E93" s="23"/>
      <c r="F93" s="23"/>
      <c r="G93" s="7"/>
    </row>
    <row r="94" spans="4:7" x14ac:dyDescent="0.2">
      <c r="D94" s="23"/>
      <c r="E94" s="23"/>
      <c r="F94" s="23"/>
      <c r="G94" s="7"/>
    </row>
    <row r="95" spans="4:7" x14ac:dyDescent="0.2">
      <c r="D95" s="23"/>
      <c r="E95" s="23"/>
      <c r="F95" s="23"/>
      <c r="G95" s="7"/>
    </row>
    <row r="96" spans="4:7" x14ac:dyDescent="0.2">
      <c r="D96" s="23"/>
      <c r="E96" s="23"/>
      <c r="F96" s="23"/>
      <c r="G96" s="7"/>
    </row>
    <row r="97" spans="4:7" x14ac:dyDescent="0.2">
      <c r="D97" s="23"/>
      <c r="E97" s="23"/>
      <c r="F97" s="23"/>
      <c r="G97" s="7"/>
    </row>
    <row r="98" spans="4:7" x14ac:dyDescent="0.2">
      <c r="D98" s="23"/>
      <c r="E98" s="23"/>
      <c r="F98" s="23"/>
      <c r="G98" s="7"/>
    </row>
    <row r="99" spans="4:7" x14ac:dyDescent="0.2">
      <c r="D99" s="23"/>
      <c r="E99" s="23"/>
      <c r="F99" s="23"/>
      <c r="G99" s="7"/>
    </row>
    <row r="100" spans="4:7" x14ac:dyDescent="0.2">
      <c r="D100" s="23"/>
      <c r="E100" s="23"/>
      <c r="F100" s="23"/>
      <c r="G100" s="7"/>
    </row>
    <row r="101" spans="4:7" x14ac:dyDescent="0.2">
      <c r="D101" s="23"/>
      <c r="E101" s="23"/>
      <c r="F101" s="23"/>
      <c r="G101" s="7"/>
    </row>
    <row r="102" spans="4:7" x14ac:dyDescent="0.2">
      <c r="D102" s="23"/>
      <c r="E102" s="23"/>
      <c r="F102" s="23"/>
      <c r="G102" s="7"/>
    </row>
    <row r="103" spans="4:7" x14ac:dyDescent="0.2">
      <c r="D103" s="23"/>
      <c r="E103" s="23"/>
      <c r="F103" s="23"/>
      <c r="G103" s="7"/>
    </row>
    <row r="104" spans="4:7" x14ac:dyDescent="0.2">
      <c r="D104" s="23"/>
      <c r="E104" s="23"/>
      <c r="F104" s="23"/>
      <c r="G104" s="7"/>
    </row>
    <row r="105" spans="4:7" x14ac:dyDescent="0.2">
      <c r="D105" s="23"/>
      <c r="E105" s="23"/>
      <c r="F105" s="23"/>
      <c r="G105" s="7"/>
    </row>
    <row r="106" spans="4:7" x14ac:dyDescent="0.2">
      <c r="D106" s="23"/>
      <c r="E106" s="23"/>
      <c r="F106" s="23"/>
      <c r="G106" s="7"/>
    </row>
    <row r="107" spans="4:7" x14ac:dyDescent="0.2">
      <c r="D107" s="23"/>
      <c r="E107" s="23"/>
      <c r="F107" s="23"/>
      <c r="G107" s="7"/>
    </row>
    <row r="108" spans="4:7" x14ac:dyDescent="0.2">
      <c r="D108" s="23"/>
      <c r="E108" s="23"/>
      <c r="F108" s="23"/>
      <c r="G108" s="7"/>
    </row>
    <row r="109" spans="4:7" x14ac:dyDescent="0.2">
      <c r="D109" s="23"/>
      <c r="E109" s="23"/>
      <c r="F109" s="23"/>
      <c r="G109" s="7"/>
    </row>
    <row r="110" spans="4:7" x14ac:dyDescent="0.2">
      <c r="D110" s="23"/>
      <c r="E110" s="23"/>
      <c r="F110" s="23"/>
      <c r="G110" s="7"/>
    </row>
    <row r="111" spans="4:7" x14ac:dyDescent="0.2">
      <c r="D111" s="23"/>
      <c r="E111" s="23"/>
      <c r="F111" s="23"/>
      <c r="G111" s="7"/>
    </row>
    <row r="112" spans="4:7" x14ac:dyDescent="0.2">
      <c r="D112" s="23"/>
      <c r="E112" s="23"/>
      <c r="F112" s="23"/>
      <c r="G112" s="7"/>
    </row>
    <row r="113" spans="4:7" x14ac:dyDescent="0.2">
      <c r="D113" s="23"/>
      <c r="E113" s="23"/>
      <c r="F113" s="23"/>
      <c r="G113" s="7"/>
    </row>
    <row r="114" spans="4:7" x14ac:dyDescent="0.2">
      <c r="D114" s="23"/>
      <c r="E114" s="23"/>
      <c r="F114" s="23"/>
      <c r="G114" s="7"/>
    </row>
    <row r="115" spans="4:7" x14ac:dyDescent="0.2">
      <c r="D115" s="23"/>
      <c r="E115" s="23"/>
      <c r="F115" s="23"/>
      <c r="G115" s="7"/>
    </row>
    <row r="116" spans="4:7" x14ac:dyDescent="0.2">
      <c r="D116" s="23"/>
      <c r="E116" s="23"/>
      <c r="F116" s="23"/>
      <c r="G116" s="7"/>
    </row>
    <row r="117" spans="4:7" x14ac:dyDescent="0.2">
      <c r="D117" s="23"/>
      <c r="E117" s="23"/>
      <c r="F117" s="23"/>
      <c r="G117" s="7"/>
    </row>
    <row r="118" spans="4:7" x14ac:dyDescent="0.2">
      <c r="D118" s="23"/>
      <c r="E118" s="23"/>
      <c r="F118" s="23"/>
      <c r="G118" s="7"/>
    </row>
    <row r="119" spans="4:7" x14ac:dyDescent="0.2">
      <c r="D119" s="23"/>
      <c r="E119" s="23"/>
      <c r="F119" s="23"/>
      <c r="G119" s="7"/>
    </row>
    <row r="120" spans="4:7" x14ac:dyDescent="0.2">
      <c r="D120" s="23"/>
      <c r="E120" s="23"/>
      <c r="F120" s="23"/>
      <c r="G120" s="7"/>
    </row>
    <row r="121" spans="4:7" x14ac:dyDescent="0.2">
      <c r="D121" s="23"/>
      <c r="E121" s="23"/>
      <c r="F121" s="23"/>
      <c r="G121" s="7"/>
    </row>
    <row r="122" spans="4:7" x14ac:dyDescent="0.2">
      <c r="D122" s="23"/>
      <c r="E122" s="23"/>
      <c r="F122" s="23"/>
      <c r="G122" s="7"/>
    </row>
    <row r="123" spans="4:7" x14ac:dyDescent="0.2">
      <c r="D123" s="23"/>
      <c r="E123" s="23"/>
      <c r="F123" s="23"/>
      <c r="G123" s="7"/>
    </row>
    <row r="124" spans="4:7" x14ac:dyDescent="0.2">
      <c r="D124" s="23"/>
      <c r="E124" s="23"/>
      <c r="F124" s="23"/>
      <c r="G124" s="7"/>
    </row>
    <row r="125" spans="4:7" x14ac:dyDescent="0.2">
      <c r="D125" s="23"/>
      <c r="E125" s="23"/>
      <c r="F125" s="23"/>
      <c r="G125" s="7"/>
    </row>
    <row r="126" spans="4:7" x14ac:dyDescent="0.2">
      <c r="D126" s="23"/>
      <c r="E126" s="23"/>
      <c r="F126" s="23"/>
      <c r="G126" s="7"/>
    </row>
    <row r="127" spans="4:7" x14ac:dyDescent="0.2">
      <c r="D127" s="23"/>
      <c r="E127" s="23"/>
      <c r="F127" s="23"/>
      <c r="G127" s="7"/>
    </row>
    <row r="128" spans="4:7" x14ac:dyDescent="0.2">
      <c r="D128" s="23"/>
      <c r="E128" s="23"/>
      <c r="F128" s="23"/>
      <c r="G128" s="7"/>
    </row>
    <row r="129" spans="4:7" x14ac:dyDescent="0.2">
      <c r="D129" s="23"/>
      <c r="E129" s="23"/>
      <c r="F129" s="23"/>
      <c r="G129" s="7"/>
    </row>
    <row r="130" spans="4:7" x14ac:dyDescent="0.2">
      <c r="D130" s="23"/>
      <c r="E130" s="23"/>
      <c r="F130" s="23"/>
      <c r="G130" s="7"/>
    </row>
    <row r="131" spans="4:7" x14ac:dyDescent="0.2">
      <c r="D131" s="23"/>
      <c r="E131" s="23"/>
      <c r="F131" s="23"/>
      <c r="G131" s="7"/>
    </row>
    <row r="132" spans="4:7" x14ac:dyDescent="0.2">
      <c r="D132" s="23"/>
      <c r="E132" s="23"/>
      <c r="F132" s="23"/>
      <c r="G132" s="7"/>
    </row>
    <row r="133" spans="4:7" x14ac:dyDescent="0.2">
      <c r="D133" s="23"/>
      <c r="E133" s="23"/>
      <c r="F133" s="23"/>
      <c r="G133" s="7"/>
    </row>
    <row r="134" spans="4:7" x14ac:dyDescent="0.2">
      <c r="D134" s="23"/>
      <c r="E134" s="23"/>
      <c r="F134" s="23"/>
      <c r="G134" s="7"/>
    </row>
    <row r="135" spans="4:7" x14ac:dyDescent="0.2">
      <c r="D135" s="23"/>
      <c r="E135" s="23"/>
      <c r="F135" s="23"/>
      <c r="G135" s="7"/>
    </row>
    <row r="136" spans="4:7" x14ac:dyDescent="0.2">
      <c r="D136" s="23"/>
      <c r="E136" s="23"/>
      <c r="F136" s="23"/>
      <c r="G136" s="7"/>
    </row>
    <row r="137" spans="4:7" x14ac:dyDescent="0.2">
      <c r="D137" s="23"/>
      <c r="E137" s="23"/>
      <c r="F137" s="23"/>
      <c r="G137" s="7"/>
    </row>
    <row r="138" spans="4:7" x14ac:dyDescent="0.2">
      <c r="D138" s="23"/>
      <c r="E138" s="23"/>
      <c r="F138" s="23"/>
      <c r="G138" s="7"/>
    </row>
    <row r="139" spans="4:7" x14ac:dyDescent="0.2">
      <c r="D139" s="23"/>
      <c r="E139" s="23"/>
      <c r="F139" s="23"/>
      <c r="G139" s="7"/>
    </row>
    <row r="140" spans="4:7" x14ac:dyDescent="0.2">
      <c r="D140" s="23"/>
      <c r="E140" s="23"/>
      <c r="F140" s="23"/>
      <c r="G140" s="7"/>
    </row>
    <row r="141" spans="4:7" x14ac:dyDescent="0.2">
      <c r="D141" s="23"/>
      <c r="E141" s="23"/>
      <c r="F141" s="23"/>
      <c r="G141" s="7"/>
    </row>
    <row r="142" spans="4:7" x14ac:dyDescent="0.2">
      <c r="D142" s="23"/>
      <c r="E142" s="23"/>
      <c r="F142" s="23"/>
      <c r="G142" s="7"/>
    </row>
    <row r="143" spans="4:7" x14ac:dyDescent="0.2">
      <c r="D143" s="23"/>
      <c r="E143" s="23"/>
      <c r="F143" s="23"/>
      <c r="G143" s="7"/>
    </row>
    <row r="144" spans="4:7" x14ac:dyDescent="0.2">
      <c r="D144" s="23"/>
      <c r="E144" s="23"/>
      <c r="F144" s="23"/>
      <c r="G144" s="7"/>
    </row>
    <row r="145" spans="4:7" x14ac:dyDescent="0.2">
      <c r="D145" s="23"/>
      <c r="E145" s="23"/>
      <c r="F145" s="23"/>
      <c r="G145" s="7"/>
    </row>
    <row r="146" spans="4:7" x14ac:dyDescent="0.2">
      <c r="D146" s="23"/>
      <c r="E146" s="23"/>
      <c r="F146" s="23"/>
      <c r="G146" s="7"/>
    </row>
    <row r="147" spans="4:7" x14ac:dyDescent="0.2">
      <c r="D147" s="23"/>
      <c r="E147" s="23"/>
      <c r="F147" s="23"/>
      <c r="G147" s="7"/>
    </row>
    <row r="148" spans="4:7" x14ac:dyDescent="0.2">
      <c r="D148" s="23"/>
      <c r="E148" s="23"/>
      <c r="F148" s="23"/>
      <c r="G148" s="7"/>
    </row>
    <row r="149" spans="4:7" x14ac:dyDescent="0.2">
      <c r="D149" s="23"/>
      <c r="E149" s="23"/>
      <c r="F149" s="23"/>
      <c r="G149" s="7"/>
    </row>
    <row r="150" spans="4:7" x14ac:dyDescent="0.2">
      <c r="D150" s="23"/>
      <c r="E150" s="23"/>
      <c r="F150" s="23"/>
      <c r="G150" s="7"/>
    </row>
    <row r="151" spans="4:7" x14ac:dyDescent="0.2">
      <c r="D151" s="23"/>
      <c r="E151" s="23"/>
      <c r="F151" s="23"/>
      <c r="G151" s="7"/>
    </row>
    <row r="152" spans="4:7" x14ac:dyDescent="0.2">
      <c r="D152" s="23"/>
      <c r="E152" s="23"/>
      <c r="F152" s="23"/>
      <c r="G152" s="7"/>
    </row>
    <row r="153" spans="4:7" x14ac:dyDescent="0.2">
      <c r="D153" s="23"/>
      <c r="E153" s="23"/>
      <c r="F153" s="23"/>
      <c r="G153" s="7"/>
    </row>
    <row r="154" spans="4:7" x14ac:dyDescent="0.2">
      <c r="D154" s="23"/>
      <c r="E154" s="23"/>
      <c r="F154" s="23"/>
      <c r="G154" s="7"/>
    </row>
    <row r="155" spans="4:7" x14ac:dyDescent="0.2">
      <c r="D155" s="23"/>
      <c r="E155" s="23"/>
      <c r="F155" s="23"/>
      <c r="G155" s="7"/>
    </row>
    <row r="156" spans="4:7" x14ac:dyDescent="0.2">
      <c r="D156" s="23"/>
      <c r="E156" s="23"/>
      <c r="F156" s="23"/>
      <c r="G156" s="7"/>
    </row>
    <row r="157" spans="4:7" x14ac:dyDescent="0.2">
      <c r="D157" s="23"/>
      <c r="E157" s="23"/>
      <c r="F157" s="23"/>
      <c r="G157" s="7"/>
    </row>
    <row r="158" spans="4:7" x14ac:dyDescent="0.2">
      <c r="D158" s="23"/>
      <c r="E158" s="23"/>
      <c r="F158" s="23"/>
      <c r="G158" s="7"/>
    </row>
    <row r="159" spans="4:7" x14ac:dyDescent="0.2">
      <c r="D159" s="23"/>
      <c r="E159" s="23"/>
      <c r="F159" s="23"/>
      <c r="G159" s="7"/>
    </row>
    <row r="160" spans="4:7" x14ac:dyDescent="0.2">
      <c r="D160" s="23"/>
      <c r="E160" s="23"/>
      <c r="F160" s="23"/>
      <c r="G160" s="7"/>
    </row>
    <row r="161" spans="4:7" x14ac:dyDescent="0.2">
      <c r="D161" s="23"/>
      <c r="E161" s="23"/>
      <c r="F161" s="23"/>
      <c r="G161" s="7"/>
    </row>
    <row r="162" spans="4:7" x14ac:dyDescent="0.2">
      <c r="D162" s="23"/>
      <c r="E162" s="23"/>
      <c r="F162" s="23"/>
      <c r="G162" s="7"/>
    </row>
    <row r="163" spans="4:7" x14ac:dyDescent="0.2">
      <c r="D163" s="23"/>
      <c r="E163" s="23"/>
      <c r="F163" s="23"/>
      <c r="G163" s="7"/>
    </row>
    <row r="164" spans="4:7" x14ac:dyDescent="0.2">
      <c r="D164" s="23"/>
      <c r="E164" s="23"/>
      <c r="F164" s="23"/>
      <c r="G164" s="7"/>
    </row>
    <row r="165" spans="4:7" x14ac:dyDescent="0.2">
      <c r="D165" s="23"/>
      <c r="E165" s="23"/>
      <c r="F165" s="23"/>
      <c r="G165" s="7"/>
    </row>
    <row r="166" spans="4:7" x14ac:dyDescent="0.2">
      <c r="D166" s="23"/>
      <c r="E166" s="23"/>
      <c r="F166" s="23"/>
      <c r="G166" s="7"/>
    </row>
    <row r="167" spans="4:7" x14ac:dyDescent="0.2">
      <c r="D167" s="23"/>
      <c r="E167" s="23"/>
      <c r="F167" s="23"/>
      <c r="G167" s="7"/>
    </row>
    <row r="168" spans="4:7" x14ac:dyDescent="0.2">
      <c r="D168" s="23"/>
      <c r="E168" s="23"/>
      <c r="F168" s="23"/>
      <c r="G168" s="7"/>
    </row>
    <row r="169" spans="4:7" x14ac:dyDescent="0.2">
      <c r="D169" s="23"/>
      <c r="E169" s="23"/>
      <c r="F169" s="23"/>
      <c r="G169" s="7"/>
    </row>
    <row r="170" spans="4:7" x14ac:dyDescent="0.2">
      <c r="D170" s="23"/>
      <c r="E170" s="23"/>
      <c r="F170" s="23"/>
      <c r="G170" s="7"/>
    </row>
    <row r="171" spans="4:7" x14ac:dyDescent="0.2">
      <c r="D171" s="23"/>
      <c r="E171" s="23"/>
      <c r="F171" s="23"/>
      <c r="G171" s="7"/>
    </row>
    <row r="172" spans="4:7" x14ac:dyDescent="0.2">
      <c r="D172" s="23"/>
      <c r="E172" s="23"/>
      <c r="F172" s="23"/>
      <c r="G172" s="7"/>
    </row>
    <row r="173" spans="4:7" x14ac:dyDescent="0.2">
      <c r="D173" s="23"/>
      <c r="E173" s="23"/>
      <c r="F173" s="23"/>
      <c r="G173" s="7"/>
    </row>
    <row r="174" spans="4:7" x14ac:dyDescent="0.2">
      <c r="D174" s="23"/>
      <c r="E174" s="23"/>
      <c r="F174" s="23"/>
      <c r="G174" s="7"/>
    </row>
    <row r="175" spans="4:7" x14ac:dyDescent="0.2">
      <c r="D175" s="23"/>
      <c r="E175" s="23"/>
      <c r="F175" s="23"/>
      <c r="G175" s="7"/>
    </row>
    <row r="176" spans="4:7" x14ac:dyDescent="0.2">
      <c r="D176" s="23"/>
      <c r="E176" s="23"/>
      <c r="F176" s="23"/>
      <c r="G176" s="7"/>
    </row>
    <row r="177" spans="4:7" x14ac:dyDescent="0.2">
      <c r="D177" s="23"/>
      <c r="E177" s="23"/>
      <c r="F177" s="23"/>
      <c r="G177" s="7"/>
    </row>
    <row r="178" spans="4:7" x14ac:dyDescent="0.2">
      <c r="D178" s="23"/>
      <c r="E178" s="23"/>
      <c r="F178" s="23"/>
      <c r="G178" s="7"/>
    </row>
    <row r="179" spans="4:7" x14ac:dyDescent="0.2">
      <c r="D179" s="23"/>
      <c r="E179" s="23"/>
      <c r="F179" s="23"/>
      <c r="G179" s="7"/>
    </row>
    <row r="180" spans="4:7" x14ac:dyDescent="0.2">
      <c r="D180" s="23"/>
      <c r="E180" s="23"/>
      <c r="F180" s="23"/>
      <c r="G180" s="7"/>
    </row>
    <row r="181" spans="4:7" x14ac:dyDescent="0.2">
      <c r="D181" s="23"/>
      <c r="E181" s="23"/>
      <c r="F181" s="23"/>
      <c r="G181" s="7"/>
    </row>
    <row r="182" spans="4:7" x14ac:dyDescent="0.2">
      <c r="D182" s="23"/>
      <c r="E182" s="23"/>
      <c r="F182" s="23"/>
      <c r="G182" s="7"/>
    </row>
    <row r="183" spans="4:7" x14ac:dyDescent="0.2">
      <c r="D183" s="23"/>
      <c r="E183" s="23"/>
      <c r="F183" s="23"/>
      <c r="G183" s="7"/>
    </row>
    <row r="184" spans="4:7" x14ac:dyDescent="0.2">
      <c r="D184" s="23"/>
      <c r="E184" s="23"/>
      <c r="F184" s="23"/>
      <c r="G184" s="7"/>
    </row>
    <row r="185" spans="4:7" x14ac:dyDescent="0.2">
      <c r="D185" s="23"/>
      <c r="E185" s="23"/>
      <c r="F185" s="23"/>
      <c r="G185" s="7"/>
    </row>
    <row r="186" spans="4:7" x14ac:dyDescent="0.2">
      <c r="D186" s="23"/>
      <c r="E186" s="23"/>
      <c r="F186" s="23"/>
      <c r="G186" s="7"/>
    </row>
    <row r="187" spans="4:7" x14ac:dyDescent="0.2">
      <c r="D187" s="23"/>
      <c r="E187" s="23"/>
      <c r="F187" s="23"/>
      <c r="G187" s="7"/>
    </row>
    <row r="188" spans="4:7" x14ac:dyDescent="0.2">
      <c r="D188" s="23"/>
      <c r="E188" s="23"/>
      <c r="F188" s="23"/>
      <c r="G188" s="7"/>
    </row>
    <row r="189" spans="4:7" x14ac:dyDescent="0.2">
      <c r="D189" s="23"/>
      <c r="E189" s="23"/>
      <c r="F189" s="23"/>
      <c r="G189" s="7"/>
    </row>
    <row r="190" spans="4:7" x14ac:dyDescent="0.2">
      <c r="D190" s="23"/>
      <c r="E190" s="23"/>
      <c r="F190" s="23"/>
      <c r="G190" s="7"/>
    </row>
    <row r="191" spans="4:7" x14ac:dyDescent="0.2">
      <c r="D191" s="23"/>
      <c r="E191" s="23"/>
      <c r="F191" s="23"/>
      <c r="G191" s="7"/>
    </row>
    <row r="192" spans="4:7" x14ac:dyDescent="0.2">
      <c r="D192" s="23"/>
      <c r="E192" s="23"/>
      <c r="F192" s="23"/>
      <c r="G192" s="7"/>
    </row>
    <row r="193" spans="4:7" x14ac:dyDescent="0.2">
      <c r="D193" s="23"/>
      <c r="E193" s="23"/>
      <c r="F193" s="23"/>
      <c r="G193" s="7"/>
    </row>
    <row r="194" spans="4:7" x14ac:dyDescent="0.2">
      <c r="D194" s="23"/>
      <c r="E194" s="23"/>
      <c r="F194" s="23"/>
      <c r="G194" s="7"/>
    </row>
    <row r="195" spans="4:7" x14ac:dyDescent="0.2">
      <c r="D195" s="23"/>
      <c r="E195" s="23"/>
      <c r="F195" s="23"/>
      <c r="G195" s="7"/>
    </row>
    <row r="196" spans="4:7" x14ac:dyDescent="0.2">
      <c r="D196" s="23"/>
      <c r="E196" s="23"/>
      <c r="F196" s="23"/>
      <c r="G196" s="7"/>
    </row>
    <row r="197" spans="4:7" x14ac:dyDescent="0.2">
      <c r="D197" s="23"/>
      <c r="E197" s="23"/>
      <c r="F197" s="23"/>
      <c r="G197" s="7"/>
    </row>
    <row r="198" spans="4:7" x14ac:dyDescent="0.2">
      <c r="D198" s="23"/>
      <c r="E198" s="23"/>
      <c r="F198" s="23"/>
      <c r="G198" s="7"/>
    </row>
    <row r="199" spans="4:7" x14ac:dyDescent="0.2">
      <c r="D199" s="23"/>
      <c r="E199" s="23"/>
      <c r="F199" s="23"/>
      <c r="G199" s="7"/>
    </row>
    <row r="200" spans="4:7" x14ac:dyDescent="0.2">
      <c r="D200" s="23"/>
      <c r="E200" s="23"/>
      <c r="F200" s="23"/>
      <c r="G200" s="7"/>
    </row>
    <row r="201" spans="4:7" x14ac:dyDescent="0.2">
      <c r="D201" s="23"/>
      <c r="E201" s="23"/>
      <c r="F201" s="23"/>
      <c r="G201" s="7"/>
    </row>
    <row r="202" spans="4:7" x14ac:dyDescent="0.2">
      <c r="D202" s="23"/>
      <c r="E202" s="23"/>
      <c r="F202" s="23"/>
      <c r="G202" s="7"/>
    </row>
    <row r="203" spans="4:7" x14ac:dyDescent="0.2">
      <c r="D203" s="23"/>
      <c r="E203" s="23"/>
      <c r="F203" s="23"/>
      <c r="G203" s="7"/>
    </row>
    <row r="204" spans="4:7" x14ac:dyDescent="0.2">
      <c r="D204" s="23"/>
      <c r="E204" s="23"/>
      <c r="F204" s="23"/>
      <c r="G204" s="7"/>
    </row>
    <row r="205" spans="4:7" x14ac:dyDescent="0.2">
      <c r="D205" s="23"/>
      <c r="E205" s="23"/>
      <c r="F205" s="23"/>
      <c r="G205" s="7"/>
    </row>
    <row r="206" spans="4:7" x14ac:dyDescent="0.2">
      <c r="D206" s="23"/>
      <c r="E206" s="23"/>
      <c r="F206" s="23"/>
      <c r="G206" s="7"/>
    </row>
    <row r="207" spans="4:7" x14ac:dyDescent="0.2">
      <c r="D207" s="23"/>
      <c r="E207" s="23"/>
      <c r="F207" s="23"/>
      <c r="G207" s="7"/>
    </row>
    <row r="208" spans="4:7" x14ac:dyDescent="0.2">
      <c r="D208" s="23"/>
      <c r="E208" s="23"/>
      <c r="F208" s="23"/>
      <c r="G208" s="7"/>
    </row>
    <row r="209" spans="4:7" x14ac:dyDescent="0.2">
      <c r="D209" s="23"/>
      <c r="E209" s="23"/>
      <c r="F209" s="23"/>
      <c r="G209" s="7"/>
    </row>
    <row r="210" spans="4:7" x14ac:dyDescent="0.2">
      <c r="D210" s="23"/>
      <c r="E210" s="23"/>
      <c r="F210" s="23"/>
      <c r="G210" s="7"/>
    </row>
    <row r="211" spans="4:7" x14ac:dyDescent="0.2">
      <c r="D211" s="23"/>
      <c r="E211" s="23"/>
      <c r="F211" s="23"/>
      <c r="G211" s="7"/>
    </row>
    <row r="212" spans="4:7" x14ac:dyDescent="0.2">
      <c r="D212" s="23"/>
      <c r="E212" s="23"/>
      <c r="F212" s="23"/>
      <c r="G212" s="7"/>
    </row>
    <row r="213" spans="4:7" x14ac:dyDescent="0.2">
      <c r="D213" s="23"/>
      <c r="E213" s="23"/>
      <c r="F213" s="23"/>
      <c r="G213" s="7"/>
    </row>
    <row r="214" spans="4:7" x14ac:dyDescent="0.2">
      <c r="D214" s="23"/>
      <c r="E214" s="23"/>
      <c r="F214" s="23"/>
      <c r="G214" s="7"/>
    </row>
    <row r="215" spans="4:7" x14ac:dyDescent="0.2">
      <c r="D215" s="23"/>
      <c r="E215" s="23"/>
      <c r="F215" s="23"/>
      <c r="G215" s="7"/>
    </row>
    <row r="216" spans="4:7" x14ac:dyDescent="0.2">
      <c r="D216" s="23"/>
      <c r="E216" s="23"/>
      <c r="F216" s="23"/>
      <c r="G216" s="7"/>
    </row>
    <row r="217" spans="4:7" x14ac:dyDescent="0.2">
      <c r="D217" s="23"/>
      <c r="E217" s="23"/>
      <c r="F217" s="23"/>
      <c r="G217" s="7"/>
    </row>
    <row r="218" spans="4:7" x14ac:dyDescent="0.2">
      <c r="D218" s="23"/>
      <c r="E218" s="23"/>
      <c r="F218" s="23"/>
      <c r="G218" s="7"/>
    </row>
    <row r="219" spans="4:7" x14ac:dyDescent="0.2">
      <c r="D219" s="23"/>
      <c r="E219" s="23"/>
      <c r="F219" s="23"/>
      <c r="G219" s="7"/>
    </row>
    <row r="220" spans="4:7" x14ac:dyDescent="0.2">
      <c r="D220" s="23"/>
      <c r="E220" s="23"/>
      <c r="F220" s="23"/>
      <c r="G220" s="7"/>
    </row>
    <row r="221" spans="4:7" x14ac:dyDescent="0.2">
      <c r="D221" s="23"/>
      <c r="E221" s="23"/>
      <c r="F221" s="23"/>
      <c r="G221" s="7"/>
    </row>
    <row r="222" spans="4:7" x14ac:dyDescent="0.2">
      <c r="D222" s="23"/>
      <c r="E222" s="23"/>
      <c r="F222" s="23"/>
      <c r="G222" s="7"/>
    </row>
    <row r="223" spans="4:7" x14ac:dyDescent="0.2">
      <c r="D223" s="23"/>
      <c r="E223" s="23"/>
      <c r="F223" s="23"/>
      <c r="G223" s="7"/>
    </row>
    <row r="224" spans="4:7" x14ac:dyDescent="0.2">
      <c r="D224" s="23"/>
      <c r="E224" s="23"/>
      <c r="F224" s="23"/>
      <c r="G224" s="7"/>
    </row>
    <row r="225" spans="4:7" x14ac:dyDescent="0.2">
      <c r="D225" s="23"/>
      <c r="E225" s="23"/>
      <c r="F225" s="23"/>
      <c r="G225" s="7"/>
    </row>
    <row r="226" spans="4:7" x14ac:dyDescent="0.2">
      <c r="D226" s="23"/>
      <c r="E226" s="23"/>
      <c r="F226" s="23"/>
      <c r="G226" s="7"/>
    </row>
    <row r="227" spans="4:7" x14ac:dyDescent="0.2">
      <c r="D227" s="23"/>
      <c r="E227" s="23"/>
      <c r="F227" s="23"/>
      <c r="G227" s="7"/>
    </row>
    <row r="228" spans="4:7" x14ac:dyDescent="0.2">
      <c r="D228" s="23"/>
      <c r="E228" s="23"/>
      <c r="F228" s="23"/>
      <c r="G228" s="7"/>
    </row>
    <row r="229" spans="4:7" x14ac:dyDescent="0.2">
      <c r="D229" s="23"/>
      <c r="E229" s="23"/>
      <c r="F229" s="23"/>
      <c r="G229" s="7"/>
    </row>
    <row r="230" spans="4:7" x14ac:dyDescent="0.2">
      <c r="D230" s="23"/>
      <c r="E230" s="23"/>
      <c r="F230" s="23"/>
      <c r="G230" s="7"/>
    </row>
    <row r="231" spans="4:7" x14ac:dyDescent="0.2">
      <c r="D231" s="23"/>
      <c r="E231" s="23"/>
      <c r="F231" s="23"/>
      <c r="G231" s="7"/>
    </row>
    <row r="232" spans="4:7" x14ac:dyDescent="0.2">
      <c r="D232" s="23"/>
      <c r="E232" s="23"/>
      <c r="F232" s="23"/>
      <c r="G232" s="7"/>
    </row>
    <row r="233" spans="4:7" x14ac:dyDescent="0.2">
      <c r="D233" s="23"/>
      <c r="E233" s="23"/>
      <c r="F233" s="23"/>
      <c r="G233" s="7"/>
    </row>
    <row r="234" spans="4:7" x14ac:dyDescent="0.2">
      <c r="D234" s="23"/>
      <c r="E234" s="23"/>
      <c r="F234" s="23"/>
      <c r="G234" s="7"/>
    </row>
    <row r="235" spans="4:7" x14ac:dyDescent="0.2">
      <c r="D235" s="23"/>
      <c r="E235" s="23"/>
      <c r="F235" s="23"/>
      <c r="G235" s="7"/>
    </row>
    <row r="236" spans="4:7" x14ac:dyDescent="0.2">
      <c r="D236" s="23"/>
      <c r="E236" s="23"/>
      <c r="F236" s="23"/>
      <c r="G236" s="7"/>
    </row>
    <row r="237" spans="4:7" x14ac:dyDescent="0.2">
      <c r="D237" s="23"/>
      <c r="E237" s="23"/>
      <c r="F237" s="23"/>
      <c r="G237" s="7"/>
    </row>
    <row r="238" spans="4:7" x14ac:dyDescent="0.2">
      <c r="D238" s="23"/>
      <c r="E238" s="23"/>
      <c r="F238" s="23"/>
      <c r="G238" s="7"/>
    </row>
    <row r="239" spans="4:7" x14ac:dyDescent="0.2">
      <c r="D239" s="23"/>
      <c r="E239" s="23"/>
      <c r="F239" s="23"/>
      <c r="G239" s="7"/>
    </row>
    <row r="240" spans="4:7" x14ac:dyDescent="0.2">
      <c r="D240" s="23"/>
      <c r="E240" s="23"/>
      <c r="F240" s="23"/>
      <c r="G240" s="7"/>
    </row>
    <row r="241" spans="4:7" x14ac:dyDescent="0.2">
      <c r="D241" s="23"/>
      <c r="E241" s="23"/>
      <c r="F241" s="23"/>
      <c r="G241" s="7"/>
    </row>
    <row r="242" spans="4:7" x14ac:dyDescent="0.2">
      <c r="D242" s="23"/>
      <c r="E242" s="23"/>
      <c r="F242" s="23"/>
      <c r="G242" s="7"/>
    </row>
    <row r="243" spans="4:7" x14ac:dyDescent="0.2">
      <c r="D243" s="23"/>
      <c r="E243" s="23"/>
      <c r="F243" s="23"/>
      <c r="G243" s="7"/>
    </row>
    <row r="244" spans="4:7" x14ac:dyDescent="0.2">
      <c r="D244" s="23"/>
      <c r="E244" s="23"/>
      <c r="F244" s="23"/>
      <c r="G244" s="7"/>
    </row>
    <row r="245" spans="4:7" x14ac:dyDescent="0.2">
      <c r="D245" s="23"/>
      <c r="E245" s="23"/>
      <c r="F245" s="23"/>
      <c r="G245" s="7"/>
    </row>
    <row r="246" spans="4:7" x14ac:dyDescent="0.2">
      <c r="D246" s="23"/>
      <c r="E246" s="23"/>
      <c r="F246" s="23"/>
      <c r="G246" s="7"/>
    </row>
    <row r="247" spans="4:7" x14ac:dyDescent="0.2">
      <c r="D247" s="23"/>
      <c r="E247" s="23"/>
      <c r="F247" s="23"/>
      <c r="G247" s="7"/>
    </row>
    <row r="248" spans="4:7" x14ac:dyDescent="0.2">
      <c r="D248" s="23"/>
      <c r="E248" s="23"/>
      <c r="F248" s="23"/>
      <c r="G248" s="7"/>
    </row>
    <row r="249" spans="4:7" x14ac:dyDescent="0.2">
      <c r="D249" s="23"/>
      <c r="E249" s="23"/>
      <c r="F249" s="23"/>
      <c r="G249" s="7"/>
    </row>
    <row r="250" spans="4:7" x14ac:dyDescent="0.2">
      <c r="D250" s="23"/>
      <c r="E250" s="23"/>
      <c r="F250" s="23"/>
      <c r="G250" s="7"/>
    </row>
    <row r="251" spans="4:7" x14ac:dyDescent="0.2">
      <c r="D251" s="23"/>
      <c r="E251" s="23"/>
      <c r="F251" s="23"/>
      <c r="G251" s="7"/>
    </row>
    <row r="252" spans="4:7" x14ac:dyDescent="0.2">
      <c r="D252" s="23"/>
      <c r="E252" s="23"/>
      <c r="F252" s="23"/>
      <c r="G252" s="7"/>
    </row>
    <row r="253" spans="4:7" x14ac:dyDescent="0.2">
      <c r="D253" s="23"/>
      <c r="E253" s="23"/>
      <c r="F253" s="23"/>
      <c r="G253" s="7"/>
    </row>
    <row r="254" spans="4:7" x14ac:dyDescent="0.2">
      <c r="D254" s="23"/>
      <c r="E254" s="23"/>
      <c r="F254" s="23"/>
      <c r="G254" s="7"/>
    </row>
    <row r="255" spans="4:7" x14ac:dyDescent="0.2">
      <c r="D255" s="23"/>
      <c r="E255" s="23"/>
      <c r="F255" s="23"/>
      <c r="G255" s="7"/>
    </row>
    <row r="256" spans="4:7" x14ac:dyDescent="0.2">
      <c r="D256" s="23"/>
      <c r="E256" s="23"/>
      <c r="F256" s="23"/>
      <c r="G256" s="7"/>
    </row>
    <row r="257" spans="4:7" x14ac:dyDescent="0.2">
      <c r="D257" s="23"/>
      <c r="E257" s="23"/>
      <c r="F257" s="23"/>
      <c r="G257" s="7"/>
    </row>
    <row r="258" spans="4:7" x14ac:dyDescent="0.2">
      <c r="D258" s="23"/>
      <c r="E258" s="23"/>
      <c r="F258" s="23"/>
      <c r="G258" s="7"/>
    </row>
    <row r="259" spans="4:7" x14ac:dyDescent="0.2">
      <c r="D259" s="23"/>
      <c r="E259" s="23"/>
      <c r="F259" s="23"/>
      <c r="G259" s="7"/>
    </row>
    <row r="260" spans="4:7" x14ac:dyDescent="0.2">
      <c r="D260" s="23"/>
      <c r="E260" s="23"/>
      <c r="F260" s="23"/>
      <c r="G260" s="7"/>
    </row>
    <row r="261" spans="4:7" x14ac:dyDescent="0.2">
      <c r="D261" s="23"/>
      <c r="E261" s="23"/>
      <c r="F261" s="23"/>
      <c r="G261" s="7"/>
    </row>
    <row r="262" spans="4:7" x14ac:dyDescent="0.2">
      <c r="D262" s="23"/>
      <c r="E262" s="23"/>
      <c r="F262" s="23"/>
      <c r="G262" s="7"/>
    </row>
    <row r="263" spans="4:7" x14ac:dyDescent="0.2">
      <c r="D263" s="23"/>
      <c r="E263" s="23"/>
      <c r="F263" s="23"/>
      <c r="G263" s="7"/>
    </row>
    <row r="264" spans="4:7" x14ac:dyDescent="0.2">
      <c r="D264" s="23"/>
      <c r="E264" s="23"/>
      <c r="F264" s="23"/>
      <c r="G264" s="7"/>
    </row>
    <row r="265" spans="4:7" x14ac:dyDescent="0.2">
      <c r="D265" s="23"/>
      <c r="E265" s="23"/>
      <c r="F265" s="23"/>
      <c r="G265" s="7"/>
    </row>
    <row r="266" spans="4:7" x14ac:dyDescent="0.2">
      <c r="D266" s="23"/>
      <c r="E266" s="23"/>
      <c r="F266" s="23"/>
      <c r="G266" s="7"/>
    </row>
    <row r="267" spans="4:7" x14ac:dyDescent="0.2">
      <c r="D267" s="23"/>
      <c r="E267" s="23"/>
      <c r="F267" s="23"/>
      <c r="G267" s="7"/>
    </row>
    <row r="268" spans="4:7" x14ac:dyDescent="0.2">
      <c r="D268" s="23"/>
      <c r="E268" s="23"/>
      <c r="F268" s="23"/>
      <c r="G268" s="7"/>
    </row>
    <row r="269" spans="4:7" x14ac:dyDescent="0.2">
      <c r="D269" s="23"/>
      <c r="E269" s="23"/>
      <c r="F269" s="23"/>
      <c r="G269" s="7"/>
    </row>
    <row r="270" spans="4:7" x14ac:dyDescent="0.2">
      <c r="D270" s="23"/>
      <c r="E270" s="23"/>
      <c r="F270" s="23"/>
      <c r="G270" s="7"/>
    </row>
    <row r="271" spans="4:7" x14ac:dyDescent="0.2">
      <c r="D271" s="23"/>
      <c r="E271" s="23"/>
      <c r="F271" s="23"/>
      <c r="G271" s="7"/>
    </row>
    <row r="272" spans="4:7" x14ac:dyDescent="0.2">
      <c r="D272" s="23"/>
      <c r="E272" s="23"/>
      <c r="F272" s="23"/>
      <c r="G272" s="7"/>
    </row>
    <row r="273" spans="4:7" x14ac:dyDescent="0.2">
      <c r="D273" s="23"/>
      <c r="E273" s="23"/>
      <c r="F273" s="23"/>
      <c r="G273" s="7"/>
    </row>
    <row r="274" spans="4:7" x14ac:dyDescent="0.2">
      <c r="D274" s="23"/>
      <c r="E274" s="23"/>
      <c r="F274" s="23"/>
      <c r="G274" s="7"/>
    </row>
    <row r="275" spans="4:7" x14ac:dyDescent="0.2">
      <c r="D275" s="23"/>
      <c r="E275" s="23"/>
      <c r="F275" s="23"/>
      <c r="G275" s="7"/>
    </row>
    <row r="276" spans="4:7" x14ac:dyDescent="0.2">
      <c r="D276" s="23"/>
      <c r="E276" s="23"/>
      <c r="F276" s="23"/>
      <c r="G276" s="7"/>
    </row>
    <row r="277" spans="4:7" x14ac:dyDescent="0.2">
      <c r="D277" s="23"/>
      <c r="E277" s="23"/>
      <c r="F277" s="23"/>
      <c r="G277" s="7"/>
    </row>
    <row r="278" spans="4:7" x14ac:dyDescent="0.2">
      <c r="D278" s="23"/>
      <c r="E278" s="23"/>
      <c r="F278" s="23"/>
      <c r="G278" s="7"/>
    </row>
    <row r="279" spans="4:7" x14ac:dyDescent="0.2">
      <c r="D279" s="23"/>
      <c r="E279" s="23"/>
      <c r="F279" s="23"/>
      <c r="G279" s="7"/>
    </row>
    <row r="280" spans="4:7" x14ac:dyDescent="0.2">
      <c r="D280" s="23"/>
      <c r="E280" s="23"/>
      <c r="F280" s="23"/>
      <c r="G280" s="7"/>
    </row>
    <row r="281" spans="4:7" x14ac:dyDescent="0.2">
      <c r="D281" s="23"/>
      <c r="E281" s="23"/>
      <c r="F281" s="23"/>
      <c r="G281" s="7"/>
    </row>
    <row r="282" spans="4:7" x14ac:dyDescent="0.2">
      <c r="D282" s="23"/>
      <c r="E282" s="23"/>
      <c r="F282" s="23"/>
      <c r="G282" s="7"/>
    </row>
    <row r="283" spans="4:7" x14ac:dyDescent="0.2">
      <c r="D283" s="23"/>
      <c r="E283" s="23"/>
      <c r="F283" s="23"/>
      <c r="G283" s="7"/>
    </row>
    <row r="284" spans="4:7" x14ac:dyDescent="0.2">
      <c r="D284" s="23"/>
      <c r="E284" s="23"/>
      <c r="F284" s="23"/>
      <c r="G284" s="7"/>
    </row>
    <row r="285" spans="4:7" x14ac:dyDescent="0.2">
      <c r="D285" s="23"/>
      <c r="E285" s="23"/>
      <c r="F285" s="23"/>
      <c r="G285" s="7"/>
    </row>
    <row r="286" spans="4:7" x14ac:dyDescent="0.2">
      <c r="D286" s="23"/>
      <c r="E286" s="23"/>
      <c r="F286" s="23"/>
      <c r="G286" s="7"/>
    </row>
    <row r="287" spans="4:7" x14ac:dyDescent="0.2">
      <c r="D287" s="23"/>
      <c r="E287" s="23"/>
      <c r="F287" s="23"/>
      <c r="G287" s="7"/>
    </row>
    <row r="288" spans="4:7" x14ac:dyDescent="0.2">
      <c r="D288" s="23"/>
      <c r="E288" s="23"/>
      <c r="F288" s="23"/>
      <c r="G288" s="7"/>
    </row>
    <row r="289" spans="4:7" x14ac:dyDescent="0.2">
      <c r="D289" s="23"/>
      <c r="E289" s="23"/>
      <c r="F289" s="23"/>
      <c r="G289" s="7"/>
    </row>
    <row r="290" spans="4:7" x14ac:dyDescent="0.2">
      <c r="D290" s="23"/>
      <c r="E290" s="23"/>
      <c r="F290" s="23"/>
      <c r="G290" s="7"/>
    </row>
    <row r="291" spans="4:7" x14ac:dyDescent="0.2">
      <c r="D291" s="23"/>
      <c r="E291" s="23"/>
      <c r="F291" s="23"/>
      <c r="G291" s="7"/>
    </row>
    <row r="292" spans="4:7" x14ac:dyDescent="0.2">
      <c r="D292" s="23"/>
      <c r="E292" s="23"/>
      <c r="F292" s="23"/>
      <c r="G292" s="7"/>
    </row>
    <row r="293" spans="4:7" x14ac:dyDescent="0.2">
      <c r="D293" s="23"/>
      <c r="E293" s="23"/>
      <c r="F293" s="23"/>
      <c r="G293" s="7"/>
    </row>
    <row r="294" spans="4:7" x14ac:dyDescent="0.2">
      <c r="D294" s="23"/>
      <c r="E294" s="23"/>
      <c r="F294" s="23"/>
      <c r="G294" s="7"/>
    </row>
    <row r="295" spans="4:7" x14ac:dyDescent="0.2">
      <c r="D295" s="23"/>
      <c r="E295" s="23"/>
      <c r="F295" s="23"/>
      <c r="G295" s="7"/>
    </row>
    <row r="296" spans="4:7" x14ac:dyDescent="0.2">
      <c r="D296" s="23"/>
      <c r="E296" s="23"/>
      <c r="F296" s="23"/>
      <c r="G296" s="7"/>
    </row>
    <row r="297" spans="4:7" x14ac:dyDescent="0.2">
      <c r="D297" s="23"/>
      <c r="E297" s="23"/>
      <c r="F297" s="23"/>
      <c r="G297" s="7"/>
    </row>
    <row r="298" spans="4:7" x14ac:dyDescent="0.2">
      <c r="D298" s="23"/>
      <c r="E298" s="23"/>
      <c r="F298" s="23"/>
      <c r="G298" s="7"/>
    </row>
    <row r="299" spans="4:7" x14ac:dyDescent="0.2">
      <c r="D299" s="23"/>
      <c r="E299" s="23"/>
      <c r="F299" s="23"/>
      <c r="G299" s="7"/>
    </row>
    <row r="300" spans="4:7" x14ac:dyDescent="0.2">
      <c r="D300" s="23"/>
      <c r="E300" s="23"/>
      <c r="F300" s="23"/>
      <c r="G300" s="7"/>
    </row>
    <row r="301" spans="4:7" x14ac:dyDescent="0.2">
      <c r="D301" s="23"/>
      <c r="E301" s="23"/>
      <c r="F301" s="23"/>
      <c r="G301" s="7"/>
    </row>
    <row r="302" spans="4:7" x14ac:dyDescent="0.2">
      <c r="D302" s="23"/>
      <c r="E302" s="23"/>
      <c r="F302" s="23"/>
      <c r="G302" s="7"/>
    </row>
    <row r="303" spans="4:7" x14ac:dyDescent="0.2">
      <c r="D303" s="23"/>
      <c r="E303" s="23"/>
      <c r="F303" s="23"/>
      <c r="G303" s="7"/>
    </row>
    <row r="304" spans="4:7" x14ac:dyDescent="0.2">
      <c r="D304" s="23"/>
      <c r="E304" s="23"/>
      <c r="F304" s="23"/>
      <c r="G304" s="7"/>
    </row>
    <row r="305" spans="4:7" x14ac:dyDescent="0.2">
      <c r="D305" s="23"/>
      <c r="E305" s="23"/>
      <c r="F305" s="23"/>
      <c r="G305" s="7"/>
    </row>
    <row r="306" spans="4:7" x14ac:dyDescent="0.2">
      <c r="D306" s="23"/>
      <c r="E306" s="23"/>
      <c r="F306" s="23"/>
      <c r="G306" s="7"/>
    </row>
    <row r="307" spans="4:7" x14ac:dyDescent="0.2">
      <c r="D307" s="23"/>
      <c r="E307" s="23"/>
      <c r="F307" s="23"/>
      <c r="G307" s="7"/>
    </row>
    <row r="308" spans="4:7" x14ac:dyDescent="0.2">
      <c r="D308" s="23"/>
      <c r="E308" s="23"/>
      <c r="F308" s="23"/>
      <c r="G308" s="7"/>
    </row>
    <row r="309" spans="4:7" x14ac:dyDescent="0.2">
      <c r="D309" s="23"/>
      <c r="E309" s="23"/>
      <c r="F309" s="23"/>
      <c r="G309" s="7"/>
    </row>
    <row r="310" spans="4:7" x14ac:dyDescent="0.2">
      <c r="D310" s="23"/>
      <c r="E310" s="23"/>
      <c r="F310" s="23"/>
      <c r="G310" s="7"/>
    </row>
    <row r="311" spans="4:7" x14ac:dyDescent="0.2">
      <c r="D311" s="23"/>
      <c r="E311" s="23"/>
      <c r="F311" s="23"/>
      <c r="G311" s="7"/>
    </row>
    <row r="312" spans="4:7" x14ac:dyDescent="0.2">
      <c r="D312" s="23"/>
      <c r="E312" s="23"/>
      <c r="F312" s="23"/>
      <c r="G312" s="7"/>
    </row>
    <row r="313" spans="4:7" x14ac:dyDescent="0.2">
      <c r="D313" s="23"/>
      <c r="E313" s="23"/>
      <c r="F313" s="23"/>
      <c r="G313" s="7"/>
    </row>
    <row r="314" spans="4:7" x14ac:dyDescent="0.2">
      <c r="D314" s="23"/>
      <c r="E314" s="23"/>
      <c r="F314" s="23"/>
      <c r="G314" s="7"/>
    </row>
    <row r="315" spans="4:7" x14ac:dyDescent="0.2">
      <c r="D315" s="23"/>
      <c r="E315" s="23"/>
      <c r="F315" s="23"/>
      <c r="G315" s="7"/>
    </row>
    <row r="316" spans="4:7" x14ac:dyDescent="0.2">
      <c r="D316" s="23"/>
      <c r="E316" s="23"/>
      <c r="F316" s="23"/>
      <c r="G316" s="7"/>
    </row>
    <row r="317" spans="4:7" x14ac:dyDescent="0.2">
      <c r="D317" s="23"/>
      <c r="E317" s="23"/>
      <c r="F317" s="23"/>
      <c r="G317" s="7"/>
    </row>
    <row r="318" spans="4:7" x14ac:dyDescent="0.2">
      <c r="D318" s="23"/>
      <c r="E318" s="23"/>
      <c r="F318" s="23"/>
      <c r="G318" s="7"/>
    </row>
    <row r="319" spans="4:7" x14ac:dyDescent="0.2">
      <c r="D319" s="23"/>
      <c r="E319" s="23"/>
      <c r="F319" s="23"/>
      <c r="G319" s="7"/>
    </row>
    <row r="320" spans="4:7" x14ac:dyDescent="0.2">
      <c r="D320" s="23"/>
      <c r="E320" s="23"/>
      <c r="F320" s="23"/>
      <c r="G320" s="7"/>
    </row>
    <row r="321" spans="4:7" x14ac:dyDescent="0.2">
      <c r="D321" s="23"/>
      <c r="E321" s="23"/>
      <c r="F321" s="23"/>
      <c r="G321" s="7"/>
    </row>
    <row r="322" spans="4:7" x14ac:dyDescent="0.2">
      <c r="D322" s="23"/>
      <c r="E322" s="23"/>
      <c r="F322" s="23"/>
      <c r="G322" s="7"/>
    </row>
    <row r="323" spans="4:7" x14ac:dyDescent="0.2">
      <c r="D323" s="23"/>
      <c r="E323" s="23"/>
      <c r="F323" s="23"/>
      <c r="G323" s="7"/>
    </row>
    <row r="324" spans="4:7" x14ac:dyDescent="0.2">
      <c r="D324" s="23"/>
      <c r="E324" s="23"/>
      <c r="F324" s="23"/>
      <c r="G324" s="7"/>
    </row>
    <row r="325" spans="4:7" x14ac:dyDescent="0.2">
      <c r="D325" s="23"/>
      <c r="E325" s="23"/>
      <c r="F325" s="23"/>
      <c r="G325" s="7"/>
    </row>
    <row r="326" spans="4:7" x14ac:dyDescent="0.2">
      <c r="D326" s="23"/>
      <c r="E326" s="23"/>
      <c r="F326" s="23"/>
      <c r="G326" s="7"/>
    </row>
    <row r="327" spans="4:7" x14ac:dyDescent="0.2">
      <c r="D327" s="23"/>
      <c r="E327" s="23"/>
      <c r="F327" s="23"/>
      <c r="G327" s="7"/>
    </row>
    <row r="328" spans="4:7" x14ac:dyDescent="0.2">
      <c r="D328" s="23"/>
      <c r="E328" s="23"/>
      <c r="F328" s="23"/>
      <c r="G328" s="7"/>
    </row>
    <row r="329" spans="4:7" x14ac:dyDescent="0.2">
      <c r="D329" s="23"/>
      <c r="E329" s="23"/>
      <c r="F329" s="23"/>
      <c r="G329" s="7"/>
    </row>
    <row r="330" spans="4:7" x14ac:dyDescent="0.2">
      <c r="D330" s="23"/>
      <c r="E330" s="23"/>
      <c r="F330" s="23"/>
      <c r="G330" s="7"/>
    </row>
    <row r="331" spans="4:7" x14ac:dyDescent="0.2">
      <c r="D331" s="23"/>
      <c r="E331" s="23"/>
      <c r="F331" s="23"/>
      <c r="G331" s="7"/>
    </row>
    <row r="332" spans="4:7" x14ac:dyDescent="0.2">
      <c r="D332" s="23"/>
      <c r="E332" s="23"/>
      <c r="F332" s="23"/>
      <c r="G332" s="7"/>
    </row>
    <row r="333" spans="4:7" x14ac:dyDescent="0.2">
      <c r="D333" s="23"/>
      <c r="E333" s="23"/>
      <c r="F333" s="23"/>
      <c r="G333" s="7"/>
    </row>
    <row r="334" spans="4:7" x14ac:dyDescent="0.2">
      <c r="D334" s="23"/>
      <c r="E334" s="23"/>
      <c r="F334" s="23"/>
      <c r="G334" s="7"/>
    </row>
    <row r="335" spans="4:7" x14ac:dyDescent="0.2">
      <c r="D335" s="23"/>
      <c r="E335" s="23"/>
      <c r="F335" s="23"/>
      <c r="G335" s="7"/>
    </row>
    <row r="336" spans="4:7" x14ac:dyDescent="0.2">
      <c r="D336" s="23"/>
      <c r="E336" s="23"/>
      <c r="F336" s="23"/>
      <c r="G336" s="7"/>
    </row>
    <row r="337" spans="4:7" x14ac:dyDescent="0.2">
      <c r="D337" s="23"/>
      <c r="E337" s="23"/>
      <c r="F337" s="23"/>
      <c r="G337" s="7"/>
    </row>
    <row r="338" spans="4:7" x14ac:dyDescent="0.2">
      <c r="D338" s="23"/>
      <c r="E338" s="23"/>
      <c r="F338" s="23"/>
      <c r="G338" s="7"/>
    </row>
    <row r="339" spans="4:7" x14ac:dyDescent="0.2">
      <c r="D339" s="23"/>
      <c r="E339" s="23"/>
      <c r="F339" s="23"/>
      <c r="G339" s="7"/>
    </row>
    <row r="340" spans="4:7" x14ac:dyDescent="0.2">
      <c r="D340" s="23"/>
      <c r="E340" s="23"/>
      <c r="F340" s="23"/>
      <c r="G340" s="7"/>
    </row>
    <row r="341" spans="4:7" x14ac:dyDescent="0.2">
      <c r="D341" s="23"/>
      <c r="E341" s="23"/>
      <c r="F341" s="23"/>
      <c r="G341" s="7"/>
    </row>
    <row r="342" spans="4:7" x14ac:dyDescent="0.2">
      <c r="D342" s="23"/>
      <c r="E342" s="23"/>
      <c r="F342" s="23"/>
      <c r="G342" s="7"/>
    </row>
    <row r="343" spans="4:7" x14ac:dyDescent="0.2">
      <c r="D343" s="23"/>
      <c r="E343" s="23"/>
      <c r="F343" s="23"/>
      <c r="G343" s="7"/>
    </row>
    <row r="344" spans="4:7" x14ac:dyDescent="0.2">
      <c r="D344" s="23"/>
      <c r="E344" s="23"/>
      <c r="F344" s="23"/>
      <c r="G344" s="7"/>
    </row>
    <row r="345" spans="4:7" x14ac:dyDescent="0.2">
      <c r="D345" s="23"/>
      <c r="E345" s="23"/>
      <c r="F345" s="23"/>
      <c r="G345" s="7"/>
    </row>
    <row r="346" spans="4:7" x14ac:dyDescent="0.2">
      <c r="D346" s="23"/>
      <c r="E346" s="23"/>
      <c r="F346" s="23"/>
      <c r="G346" s="7"/>
    </row>
    <row r="347" spans="4:7" x14ac:dyDescent="0.2">
      <c r="D347" s="23"/>
      <c r="E347" s="23"/>
      <c r="F347" s="23"/>
      <c r="G347" s="7"/>
    </row>
    <row r="348" spans="4:7" x14ac:dyDescent="0.2">
      <c r="D348" s="23"/>
      <c r="E348" s="23"/>
      <c r="F348" s="23"/>
      <c r="G348" s="7"/>
    </row>
    <row r="349" spans="4:7" x14ac:dyDescent="0.2">
      <c r="D349" s="23"/>
      <c r="E349" s="23"/>
      <c r="F349" s="23"/>
      <c r="G349" s="7"/>
    </row>
    <row r="350" spans="4:7" x14ac:dyDescent="0.2">
      <c r="D350" s="23"/>
      <c r="E350" s="23"/>
      <c r="F350" s="23"/>
      <c r="G350" s="7"/>
    </row>
    <row r="351" spans="4:7" x14ac:dyDescent="0.2">
      <c r="D351" s="23"/>
      <c r="E351" s="23"/>
      <c r="F351" s="23"/>
      <c r="G351" s="7"/>
    </row>
    <row r="352" spans="4:7" x14ac:dyDescent="0.2">
      <c r="D352" s="23"/>
      <c r="E352" s="23"/>
      <c r="F352" s="23"/>
      <c r="G352" s="7"/>
    </row>
    <row r="353" spans="4:7" x14ac:dyDescent="0.2">
      <c r="D353" s="23"/>
      <c r="E353" s="23"/>
      <c r="F353" s="23"/>
      <c r="G353" s="7"/>
    </row>
    <row r="354" spans="4:7" x14ac:dyDescent="0.2">
      <c r="D354" s="23"/>
      <c r="E354" s="23"/>
      <c r="F354" s="23"/>
      <c r="G354" s="7"/>
    </row>
    <row r="355" spans="4:7" x14ac:dyDescent="0.2">
      <c r="D355" s="23"/>
      <c r="E355" s="23"/>
      <c r="F355" s="23"/>
      <c r="G355" s="7"/>
    </row>
    <row r="356" spans="4:7" x14ac:dyDescent="0.2">
      <c r="D356" s="23"/>
      <c r="E356" s="23"/>
      <c r="F356" s="23"/>
      <c r="G356" s="7"/>
    </row>
    <row r="357" spans="4:7" x14ac:dyDescent="0.2">
      <c r="D357" s="23"/>
      <c r="E357" s="23"/>
      <c r="F357" s="23"/>
      <c r="G357" s="7"/>
    </row>
    <row r="358" spans="4:7" x14ac:dyDescent="0.2">
      <c r="D358" s="23"/>
      <c r="E358" s="23"/>
      <c r="F358" s="23"/>
      <c r="G358" s="7"/>
    </row>
    <row r="359" spans="4:7" x14ac:dyDescent="0.2">
      <c r="D359" s="23"/>
      <c r="E359" s="23"/>
      <c r="F359" s="23"/>
      <c r="G359" s="7"/>
    </row>
    <row r="360" spans="4:7" x14ac:dyDescent="0.2">
      <c r="D360" s="23"/>
      <c r="E360" s="23"/>
      <c r="F360" s="23"/>
      <c r="G360" s="7"/>
    </row>
    <row r="361" spans="4:7" x14ac:dyDescent="0.2">
      <c r="D361" s="23"/>
      <c r="E361" s="23"/>
      <c r="F361" s="23"/>
      <c r="G361" s="7"/>
    </row>
    <row r="362" spans="4:7" x14ac:dyDescent="0.2">
      <c r="D362" s="23"/>
      <c r="E362" s="23"/>
      <c r="F362" s="23"/>
      <c r="G362" s="7"/>
    </row>
    <row r="363" spans="4:7" x14ac:dyDescent="0.2">
      <c r="D363" s="23"/>
      <c r="E363" s="23"/>
      <c r="F363" s="23"/>
      <c r="G363" s="7"/>
    </row>
    <row r="364" spans="4:7" x14ac:dyDescent="0.2">
      <c r="D364" s="23"/>
      <c r="E364" s="23"/>
      <c r="F364" s="23"/>
      <c r="G364" s="7"/>
    </row>
    <row r="365" spans="4:7" x14ac:dyDescent="0.2">
      <c r="D365" s="23"/>
      <c r="E365" s="23"/>
      <c r="F365" s="23"/>
      <c r="G365" s="7"/>
    </row>
    <row r="366" spans="4:7" x14ac:dyDescent="0.2">
      <c r="D366" s="23"/>
      <c r="E366" s="23"/>
      <c r="F366" s="23"/>
      <c r="G366" s="7"/>
    </row>
    <row r="367" spans="4:7" x14ac:dyDescent="0.2">
      <c r="D367" s="23"/>
      <c r="E367" s="23"/>
      <c r="F367" s="23"/>
      <c r="G367" s="7"/>
    </row>
    <row r="368" spans="4:7" x14ac:dyDescent="0.2">
      <c r="D368" s="23"/>
      <c r="E368" s="23"/>
      <c r="F368" s="23"/>
      <c r="G368" s="7"/>
    </row>
    <row r="369" spans="4:7" x14ac:dyDescent="0.2">
      <c r="D369" s="23"/>
      <c r="E369" s="23"/>
      <c r="F369" s="23"/>
      <c r="G369" s="7"/>
    </row>
    <row r="370" spans="4:7" x14ac:dyDescent="0.2">
      <c r="D370" s="23"/>
      <c r="E370" s="23"/>
      <c r="F370" s="23"/>
      <c r="G370" s="7"/>
    </row>
    <row r="371" spans="4:7" x14ac:dyDescent="0.2">
      <c r="D371" s="23"/>
      <c r="E371" s="23"/>
      <c r="F371" s="23"/>
      <c r="G371" s="7"/>
    </row>
    <row r="372" spans="4:7" x14ac:dyDescent="0.2">
      <c r="D372" s="23"/>
      <c r="E372" s="23"/>
      <c r="F372" s="23"/>
      <c r="G372" s="7"/>
    </row>
    <row r="373" spans="4:7" x14ac:dyDescent="0.2">
      <c r="D373" s="23"/>
      <c r="E373" s="23"/>
      <c r="F373" s="23"/>
      <c r="G373" s="7"/>
    </row>
    <row r="374" spans="4:7" x14ac:dyDescent="0.2">
      <c r="D374" s="23"/>
      <c r="E374" s="23"/>
      <c r="F374" s="23"/>
      <c r="G374" s="7"/>
    </row>
    <row r="375" spans="4:7" x14ac:dyDescent="0.2">
      <c r="D375" s="23"/>
      <c r="E375" s="23"/>
      <c r="F375" s="23"/>
      <c r="G375" s="7"/>
    </row>
    <row r="376" spans="4:7" x14ac:dyDescent="0.2">
      <c r="D376" s="23"/>
      <c r="E376" s="23"/>
      <c r="F376" s="23"/>
      <c r="G376" s="7"/>
    </row>
    <row r="377" spans="4:7" x14ac:dyDescent="0.2">
      <c r="D377" s="23"/>
      <c r="E377" s="23"/>
      <c r="F377" s="23"/>
      <c r="G377" s="7"/>
    </row>
    <row r="378" spans="4:7" x14ac:dyDescent="0.2">
      <c r="D378" s="23"/>
      <c r="E378" s="23"/>
      <c r="F378" s="23"/>
      <c r="G378" s="7"/>
    </row>
    <row r="379" spans="4:7" x14ac:dyDescent="0.2">
      <c r="D379" s="23"/>
      <c r="E379" s="23"/>
      <c r="F379" s="23"/>
      <c r="G379" s="7"/>
    </row>
    <row r="380" spans="4:7" x14ac:dyDescent="0.2">
      <c r="D380" s="23"/>
      <c r="E380" s="23"/>
      <c r="F380" s="23"/>
      <c r="G380" s="7"/>
    </row>
    <row r="381" spans="4:7" x14ac:dyDescent="0.2">
      <c r="D381" s="23"/>
      <c r="E381" s="23"/>
      <c r="F381" s="23"/>
      <c r="G381" s="7"/>
    </row>
    <row r="382" spans="4:7" x14ac:dyDescent="0.2">
      <c r="D382" s="23"/>
      <c r="E382" s="23"/>
      <c r="F382" s="23"/>
      <c r="G382" s="7"/>
    </row>
    <row r="383" spans="4:7" x14ac:dyDescent="0.2">
      <c r="D383" s="23"/>
      <c r="E383" s="23"/>
      <c r="F383" s="23"/>
      <c r="G383" s="7"/>
    </row>
    <row r="384" spans="4:7" x14ac:dyDescent="0.2">
      <c r="D384" s="23"/>
      <c r="E384" s="23"/>
      <c r="F384" s="23"/>
      <c r="G384" s="7"/>
    </row>
    <row r="385" spans="4:7" x14ac:dyDescent="0.2">
      <c r="D385" s="23"/>
      <c r="E385" s="23"/>
      <c r="F385" s="23"/>
      <c r="G385" s="7"/>
    </row>
    <row r="386" spans="4:7" x14ac:dyDescent="0.2">
      <c r="D386" s="23"/>
      <c r="E386" s="23"/>
      <c r="F386" s="23"/>
      <c r="G386" s="7"/>
    </row>
    <row r="387" spans="4:7" x14ac:dyDescent="0.2">
      <c r="D387" s="23"/>
      <c r="E387" s="23"/>
      <c r="F387" s="23"/>
      <c r="G387" s="7"/>
    </row>
    <row r="388" spans="4:7" x14ac:dyDescent="0.2">
      <c r="D388" s="23"/>
      <c r="E388" s="23"/>
      <c r="F388" s="23"/>
      <c r="G388" s="7"/>
    </row>
    <row r="389" spans="4:7" x14ac:dyDescent="0.2">
      <c r="D389" s="23"/>
      <c r="E389" s="23"/>
      <c r="F389" s="23"/>
      <c r="G389" s="7"/>
    </row>
    <row r="390" spans="4:7" x14ac:dyDescent="0.2">
      <c r="D390" s="23"/>
      <c r="E390" s="23"/>
      <c r="F390" s="23"/>
      <c r="G390" s="7"/>
    </row>
    <row r="391" spans="4:7" x14ac:dyDescent="0.2">
      <c r="D391" s="23"/>
      <c r="E391" s="23"/>
      <c r="F391" s="23"/>
      <c r="G391" s="7"/>
    </row>
    <row r="392" spans="4:7" x14ac:dyDescent="0.2">
      <c r="D392" s="23"/>
      <c r="E392" s="23"/>
      <c r="F392" s="23"/>
      <c r="G392" s="7"/>
    </row>
    <row r="393" spans="4:7" x14ac:dyDescent="0.2">
      <c r="D393" s="23"/>
      <c r="E393" s="23"/>
      <c r="F393" s="23"/>
      <c r="G393" s="7"/>
    </row>
    <row r="394" spans="4:7" x14ac:dyDescent="0.2">
      <c r="D394" s="23"/>
      <c r="E394" s="23"/>
      <c r="F394" s="23"/>
      <c r="G394" s="7"/>
    </row>
    <row r="395" spans="4:7" x14ac:dyDescent="0.2">
      <c r="D395" s="23"/>
      <c r="E395" s="23"/>
      <c r="F395" s="23"/>
      <c r="G395" s="7"/>
    </row>
    <row r="396" spans="4:7" x14ac:dyDescent="0.2">
      <c r="D396" s="23"/>
      <c r="E396" s="23"/>
      <c r="F396" s="23"/>
      <c r="G396" s="7"/>
    </row>
    <row r="397" spans="4:7" x14ac:dyDescent="0.2">
      <c r="D397" s="23"/>
      <c r="E397" s="23"/>
      <c r="F397" s="23"/>
      <c r="G397" s="7"/>
    </row>
    <row r="398" spans="4:7" x14ac:dyDescent="0.2">
      <c r="D398" s="23"/>
      <c r="E398" s="23"/>
      <c r="F398" s="23"/>
      <c r="G398" s="7"/>
    </row>
    <row r="399" spans="4:7" x14ac:dyDescent="0.2">
      <c r="D399" s="23"/>
      <c r="E399" s="23"/>
      <c r="F399" s="23"/>
      <c r="G399" s="7"/>
    </row>
    <row r="400" spans="4:7" x14ac:dyDescent="0.2">
      <c r="D400" s="23"/>
      <c r="E400" s="23"/>
      <c r="F400" s="23"/>
      <c r="G400" s="7"/>
    </row>
    <row r="401" spans="4:7" x14ac:dyDescent="0.2">
      <c r="D401" s="23"/>
      <c r="E401" s="23"/>
      <c r="F401" s="23"/>
      <c r="G401" s="7"/>
    </row>
    <row r="402" spans="4:7" x14ac:dyDescent="0.2">
      <c r="D402" s="23"/>
      <c r="E402" s="23"/>
      <c r="F402" s="23"/>
      <c r="G402" s="7"/>
    </row>
    <row r="403" spans="4:7" x14ac:dyDescent="0.2">
      <c r="D403" s="23"/>
      <c r="E403" s="23"/>
      <c r="F403" s="23"/>
      <c r="G403" s="7"/>
    </row>
    <row r="404" spans="4:7" x14ac:dyDescent="0.2">
      <c r="D404" s="23"/>
      <c r="E404" s="23"/>
      <c r="F404" s="23"/>
      <c r="G404" s="7"/>
    </row>
    <row r="405" spans="4:7" x14ac:dyDescent="0.2">
      <c r="D405" s="23"/>
      <c r="E405" s="23"/>
      <c r="F405" s="23"/>
      <c r="G405" s="7"/>
    </row>
    <row r="406" spans="4:7" x14ac:dyDescent="0.2">
      <c r="D406" s="23"/>
      <c r="E406" s="23"/>
      <c r="F406" s="23"/>
      <c r="G406" s="7"/>
    </row>
    <row r="407" spans="4:7" x14ac:dyDescent="0.2">
      <c r="D407" s="23"/>
      <c r="E407" s="23"/>
      <c r="F407" s="23"/>
      <c r="G407" s="7"/>
    </row>
    <row r="408" spans="4:7" x14ac:dyDescent="0.2">
      <c r="D408" s="23"/>
      <c r="E408" s="23"/>
      <c r="F408" s="23"/>
      <c r="G408" s="7"/>
    </row>
    <row r="409" spans="4:7" x14ac:dyDescent="0.2">
      <c r="D409" s="23"/>
      <c r="E409" s="23"/>
      <c r="F409" s="23"/>
      <c r="G409" s="7"/>
    </row>
    <row r="410" spans="4:7" x14ac:dyDescent="0.2">
      <c r="D410" s="23"/>
      <c r="E410" s="23"/>
      <c r="F410" s="23"/>
      <c r="G410" s="7"/>
    </row>
    <row r="411" spans="4:7" x14ac:dyDescent="0.2">
      <c r="D411" s="23"/>
      <c r="E411" s="23"/>
      <c r="F411" s="23"/>
      <c r="G411" s="7"/>
    </row>
    <row r="412" spans="4:7" x14ac:dyDescent="0.2">
      <c r="D412" s="23"/>
      <c r="E412" s="23"/>
      <c r="F412" s="23"/>
      <c r="G412" s="7"/>
    </row>
    <row r="413" spans="4:7" x14ac:dyDescent="0.2">
      <c r="D413" s="23"/>
      <c r="E413" s="23"/>
      <c r="F413" s="23"/>
      <c r="G413" s="7"/>
    </row>
    <row r="414" spans="4:7" x14ac:dyDescent="0.2">
      <c r="D414" s="23"/>
      <c r="E414" s="23"/>
      <c r="F414" s="23"/>
      <c r="G414" s="7"/>
    </row>
    <row r="415" spans="4:7" x14ac:dyDescent="0.2">
      <c r="D415" s="23"/>
      <c r="E415" s="23"/>
      <c r="F415" s="23"/>
      <c r="G415" s="7"/>
    </row>
    <row r="416" spans="4:7" x14ac:dyDescent="0.2">
      <c r="D416" s="23"/>
      <c r="E416" s="23"/>
      <c r="F416" s="23"/>
      <c r="G416" s="7"/>
    </row>
    <row r="417" spans="4:7" x14ac:dyDescent="0.2">
      <c r="D417" s="23"/>
      <c r="E417" s="23"/>
      <c r="F417" s="23"/>
      <c r="G417" s="7"/>
    </row>
    <row r="418" spans="4:7" x14ac:dyDescent="0.2">
      <c r="D418" s="23"/>
      <c r="E418" s="23"/>
      <c r="F418" s="23"/>
      <c r="G418" s="7"/>
    </row>
    <row r="419" spans="4:7" x14ac:dyDescent="0.2">
      <c r="D419" s="23"/>
      <c r="E419" s="23"/>
      <c r="F419" s="23"/>
      <c r="G419" s="7"/>
    </row>
    <row r="420" spans="4:7" x14ac:dyDescent="0.2">
      <c r="D420" s="23"/>
      <c r="E420" s="23"/>
      <c r="F420" s="23"/>
      <c r="G420" s="7"/>
    </row>
    <row r="421" spans="4:7" x14ac:dyDescent="0.2">
      <c r="D421" s="23"/>
      <c r="E421" s="23"/>
      <c r="F421" s="23"/>
      <c r="G421" s="7"/>
    </row>
    <row r="422" spans="4:7" x14ac:dyDescent="0.2">
      <c r="D422" s="23"/>
      <c r="E422" s="23"/>
      <c r="F422" s="23"/>
      <c r="G422" s="7"/>
    </row>
    <row r="423" spans="4:7" x14ac:dyDescent="0.2">
      <c r="D423" s="23"/>
      <c r="E423" s="23"/>
      <c r="F423" s="23"/>
      <c r="G423" s="7"/>
    </row>
    <row r="424" spans="4:7" x14ac:dyDescent="0.2">
      <c r="D424" s="23"/>
      <c r="E424" s="23"/>
      <c r="F424" s="23"/>
      <c r="G424" s="7"/>
    </row>
    <row r="425" spans="4:7" x14ac:dyDescent="0.2">
      <c r="D425" s="23"/>
      <c r="E425" s="23"/>
      <c r="F425" s="23"/>
      <c r="G425" s="7"/>
    </row>
    <row r="426" spans="4:7" x14ac:dyDescent="0.2">
      <c r="D426" s="23"/>
      <c r="E426" s="23"/>
      <c r="F426" s="23"/>
      <c r="G426" s="7"/>
    </row>
    <row r="427" spans="4:7" x14ac:dyDescent="0.2">
      <c r="D427" s="23"/>
      <c r="E427" s="23"/>
      <c r="F427" s="23"/>
      <c r="G427" s="7"/>
    </row>
    <row r="428" spans="4:7" x14ac:dyDescent="0.2">
      <c r="D428" s="23"/>
      <c r="E428" s="23"/>
      <c r="F428" s="23"/>
      <c r="G428" s="7"/>
    </row>
    <row r="429" spans="4:7" x14ac:dyDescent="0.2">
      <c r="D429" s="23"/>
      <c r="E429" s="23"/>
      <c r="F429" s="23"/>
      <c r="G429" s="7"/>
    </row>
    <row r="430" spans="4:7" x14ac:dyDescent="0.2">
      <c r="D430" s="23"/>
      <c r="E430" s="23"/>
      <c r="F430" s="23"/>
      <c r="G430" s="7"/>
    </row>
    <row r="431" spans="4:7" x14ac:dyDescent="0.2">
      <c r="D431" s="23"/>
      <c r="E431" s="23"/>
      <c r="F431" s="23"/>
      <c r="G431" s="7"/>
    </row>
    <row r="432" spans="4:7" x14ac:dyDescent="0.2">
      <c r="D432" s="23"/>
      <c r="E432" s="23"/>
      <c r="F432" s="23"/>
      <c r="G432" s="7"/>
    </row>
    <row r="433" spans="4:7" x14ac:dyDescent="0.2">
      <c r="D433" s="23"/>
      <c r="E433" s="23"/>
      <c r="F433" s="23"/>
      <c r="G433" s="7"/>
    </row>
    <row r="434" spans="4:7" x14ac:dyDescent="0.2">
      <c r="D434" s="23"/>
      <c r="E434" s="23"/>
      <c r="F434" s="23"/>
      <c r="G434" s="7"/>
    </row>
    <row r="435" spans="4:7" x14ac:dyDescent="0.2">
      <c r="D435" s="23"/>
      <c r="E435" s="23"/>
      <c r="F435" s="23"/>
      <c r="G435" s="7"/>
    </row>
    <row r="436" spans="4:7" x14ac:dyDescent="0.2">
      <c r="D436" s="23"/>
      <c r="E436" s="23"/>
      <c r="F436" s="23"/>
      <c r="G436" s="7"/>
    </row>
    <row r="437" spans="4:7" x14ac:dyDescent="0.2">
      <c r="D437" s="23"/>
      <c r="E437" s="23"/>
      <c r="F437" s="23"/>
      <c r="G437" s="7"/>
    </row>
    <row r="438" spans="4:7" x14ac:dyDescent="0.2">
      <c r="D438" s="23"/>
      <c r="E438" s="23"/>
      <c r="F438" s="23"/>
      <c r="G438" s="7"/>
    </row>
    <row r="439" spans="4:7" x14ac:dyDescent="0.2">
      <c r="D439" s="23"/>
      <c r="E439" s="23"/>
      <c r="F439" s="23"/>
      <c r="G439" s="7"/>
    </row>
    <row r="440" spans="4:7" x14ac:dyDescent="0.2">
      <c r="D440" s="23"/>
      <c r="E440" s="23"/>
      <c r="F440" s="23"/>
      <c r="G440" s="7"/>
    </row>
    <row r="441" spans="4:7" x14ac:dyDescent="0.2">
      <c r="D441" s="23"/>
      <c r="E441" s="23"/>
      <c r="F441" s="23"/>
      <c r="G441" s="7"/>
    </row>
    <row r="442" spans="4:7" x14ac:dyDescent="0.2">
      <c r="D442" s="23"/>
      <c r="E442" s="23"/>
      <c r="F442" s="23"/>
      <c r="G442" s="7"/>
    </row>
    <row r="443" spans="4:7" x14ac:dyDescent="0.2">
      <c r="D443" s="23"/>
      <c r="E443" s="23"/>
      <c r="F443" s="23"/>
      <c r="G443" s="7"/>
    </row>
    <row r="444" spans="4:7" x14ac:dyDescent="0.2">
      <c r="D444" s="23"/>
      <c r="E444" s="23"/>
      <c r="F444" s="23"/>
      <c r="G444" s="7"/>
    </row>
    <row r="445" spans="4:7" x14ac:dyDescent="0.2">
      <c r="D445" s="23"/>
      <c r="E445" s="23"/>
      <c r="F445" s="23"/>
      <c r="G445" s="7"/>
    </row>
    <row r="446" spans="4:7" x14ac:dyDescent="0.2">
      <c r="D446" s="23"/>
      <c r="E446" s="23"/>
      <c r="F446" s="23"/>
      <c r="G446" s="7"/>
    </row>
    <row r="447" spans="4:7" x14ac:dyDescent="0.2">
      <c r="D447" s="23"/>
      <c r="E447" s="23"/>
      <c r="F447" s="23"/>
      <c r="G447" s="7"/>
    </row>
    <row r="448" spans="4:7" x14ac:dyDescent="0.2">
      <c r="D448" s="23"/>
      <c r="E448" s="23"/>
      <c r="F448" s="23"/>
      <c r="G448" s="7"/>
    </row>
    <row r="449" spans="4:7" x14ac:dyDescent="0.2">
      <c r="D449" s="23"/>
      <c r="E449" s="23"/>
      <c r="F449" s="23"/>
      <c r="G449" s="7"/>
    </row>
    <row r="450" spans="4:7" x14ac:dyDescent="0.2">
      <c r="D450" s="23"/>
      <c r="E450" s="23"/>
      <c r="F450" s="23"/>
      <c r="G450" s="7"/>
    </row>
    <row r="451" spans="4:7" x14ac:dyDescent="0.2">
      <c r="D451" s="23"/>
      <c r="E451" s="23"/>
      <c r="F451" s="23"/>
      <c r="G451" s="7"/>
    </row>
    <row r="452" spans="4:7" x14ac:dyDescent="0.2">
      <c r="D452" s="23"/>
      <c r="E452" s="23"/>
      <c r="F452" s="23"/>
      <c r="G452" s="7"/>
    </row>
    <row r="453" spans="4:7" x14ac:dyDescent="0.2">
      <c r="D453" s="23"/>
      <c r="E453" s="23"/>
      <c r="F453" s="23"/>
      <c r="G453" s="7"/>
    </row>
    <row r="454" spans="4:7" x14ac:dyDescent="0.2">
      <c r="D454" s="23"/>
      <c r="E454" s="23"/>
      <c r="F454" s="23"/>
      <c r="G454" s="7"/>
    </row>
    <row r="455" spans="4:7" x14ac:dyDescent="0.2">
      <c r="D455" s="23"/>
      <c r="E455" s="23"/>
      <c r="F455" s="23"/>
      <c r="G455" s="7"/>
    </row>
    <row r="456" spans="4:7" x14ac:dyDescent="0.2">
      <c r="D456" s="23"/>
      <c r="E456" s="23"/>
      <c r="F456" s="23"/>
      <c r="G456" s="7"/>
    </row>
    <row r="457" spans="4:7" x14ac:dyDescent="0.2">
      <c r="D457" s="23"/>
      <c r="E457" s="23"/>
      <c r="F457" s="23"/>
      <c r="G457" s="7"/>
    </row>
    <row r="458" spans="4:7" x14ac:dyDescent="0.2">
      <c r="D458" s="23"/>
      <c r="E458" s="23"/>
      <c r="F458" s="23"/>
      <c r="G458" s="7"/>
    </row>
    <row r="459" spans="4:7" x14ac:dyDescent="0.2">
      <c r="D459" s="23"/>
      <c r="E459" s="23"/>
      <c r="F459" s="23"/>
      <c r="G459" s="7"/>
    </row>
    <row r="460" spans="4:7" x14ac:dyDescent="0.2">
      <c r="D460" s="23"/>
      <c r="E460" s="23"/>
      <c r="F460" s="23"/>
      <c r="G460" s="7"/>
    </row>
    <row r="461" spans="4:7" x14ac:dyDescent="0.2">
      <c r="D461" s="23"/>
      <c r="E461" s="23"/>
      <c r="F461" s="23"/>
      <c r="G461" s="7"/>
    </row>
    <row r="462" spans="4:7" x14ac:dyDescent="0.2">
      <c r="D462" s="23"/>
      <c r="E462" s="23"/>
      <c r="F462" s="23"/>
      <c r="G462" s="7"/>
    </row>
    <row r="463" spans="4:7" x14ac:dyDescent="0.2">
      <c r="D463" s="23"/>
      <c r="E463" s="23"/>
      <c r="F463" s="23"/>
      <c r="G463" s="7"/>
    </row>
    <row r="464" spans="4:7" x14ac:dyDescent="0.2">
      <c r="D464" s="23"/>
      <c r="E464" s="23"/>
      <c r="F464" s="23"/>
      <c r="G464" s="7"/>
    </row>
    <row r="465" spans="4:7" x14ac:dyDescent="0.2">
      <c r="D465" s="23"/>
      <c r="E465" s="23"/>
      <c r="F465" s="23"/>
      <c r="G465" s="7"/>
    </row>
    <row r="466" spans="4:7" x14ac:dyDescent="0.2">
      <c r="D466" s="23"/>
      <c r="E466" s="23"/>
      <c r="F466" s="23"/>
      <c r="G466" s="7"/>
    </row>
    <row r="467" spans="4:7" x14ac:dyDescent="0.2">
      <c r="D467" s="23"/>
      <c r="E467" s="23"/>
      <c r="F467" s="23"/>
      <c r="G467" s="7"/>
    </row>
    <row r="468" spans="4:7" x14ac:dyDescent="0.2">
      <c r="D468" s="23"/>
      <c r="E468" s="23"/>
      <c r="F468" s="23"/>
      <c r="G468" s="7"/>
    </row>
    <row r="469" spans="4:7" x14ac:dyDescent="0.2">
      <c r="D469" s="23"/>
      <c r="E469" s="23"/>
      <c r="F469" s="23"/>
      <c r="G469" s="7"/>
    </row>
    <row r="470" spans="4:7" x14ac:dyDescent="0.2">
      <c r="D470" s="23"/>
      <c r="E470" s="23"/>
      <c r="F470" s="23"/>
      <c r="G470" s="7"/>
    </row>
    <row r="471" spans="4:7" x14ac:dyDescent="0.2">
      <c r="D471" s="23"/>
      <c r="E471" s="23"/>
      <c r="F471" s="23"/>
      <c r="G471" s="7"/>
    </row>
    <row r="472" spans="4:7" x14ac:dyDescent="0.2">
      <c r="D472" s="23"/>
      <c r="E472" s="23"/>
      <c r="F472" s="23"/>
      <c r="G472" s="7"/>
    </row>
    <row r="473" spans="4:7" x14ac:dyDescent="0.2">
      <c r="D473" s="23"/>
      <c r="E473" s="23"/>
      <c r="F473" s="23"/>
      <c r="G473" s="7"/>
    </row>
    <row r="474" spans="4:7" x14ac:dyDescent="0.2">
      <c r="D474" s="23"/>
      <c r="E474" s="23"/>
      <c r="F474" s="23"/>
      <c r="G474" s="7"/>
    </row>
    <row r="475" spans="4:7" x14ac:dyDescent="0.2">
      <c r="D475" s="23"/>
      <c r="E475" s="23"/>
      <c r="F475" s="23"/>
      <c r="G475" s="7"/>
    </row>
    <row r="476" spans="4:7" x14ac:dyDescent="0.2">
      <c r="D476" s="23"/>
      <c r="E476" s="23"/>
      <c r="F476" s="23"/>
      <c r="G476" s="7"/>
    </row>
    <row r="477" spans="4:7" x14ac:dyDescent="0.2">
      <c r="D477" s="23"/>
      <c r="E477" s="23"/>
      <c r="F477" s="23"/>
      <c r="G477" s="7"/>
    </row>
    <row r="478" spans="4:7" x14ac:dyDescent="0.2">
      <c r="D478" s="23"/>
      <c r="E478" s="23"/>
      <c r="F478" s="23"/>
      <c r="G478" s="7"/>
    </row>
    <row r="479" spans="4:7" x14ac:dyDescent="0.2">
      <c r="D479" s="23"/>
      <c r="E479" s="23"/>
      <c r="F479" s="23"/>
      <c r="G479" s="7"/>
    </row>
    <row r="480" spans="4:7" x14ac:dyDescent="0.2">
      <c r="D480" s="23"/>
      <c r="E480" s="23"/>
      <c r="F480" s="23"/>
      <c r="G480" s="7"/>
    </row>
    <row r="481" spans="4:7" x14ac:dyDescent="0.2">
      <c r="D481" s="23"/>
      <c r="E481" s="23"/>
      <c r="F481" s="23"/>
      <c r="G481" s="7"/>
    </row>
    <row r="482" spans="4:7" x14ac:dyDescent="0.2">
      <c r="D482" s="23"/>
      <c r="E482" s="23"/>
      <c r="F482" s="23"/>
      <c r="G482" s="7"/>
    </row>
    <row r="483" spans="4:7" x14ac:dyDescent="0.2">
      <c r="D483" s="23"/>
      <c r="E483" s="23"/>
      <c r="F483" s="23"/>
      <c r="G483" s="7"/>
    </row>
    <row r="484" spans="4:7" x14ac:dyDescent="0.2">
      <c r="D484" s="23"/>
      <c r="E484" s="23"/>
      <c r="F484" s="23"/>
      <c r="G484" s="7"/>
    </row>
    <row r="485" spans="4:7" x14ac:dyDescent="0.2">
      <c r="D485" s="23"/>
      <c r="E485" s="23"/>
      <c r="F485" s="23"/>
      <c r="G485" s="7"/>
    </row>
    <row r="486" spans="4:7" x14ac:dyDescent="0.2">
      <c r="D486" s="23"/>
      <c r="E486" s="23"/>
      <c r="F486" s="23"/>
      <c r="G486" s="7"/>
    </row>
    <row r="487" spans="4:7" x14ac:dyDescent="0.2">
      <c r="D487" s="23"/>
      <c r="E487" s="23"/>
      <c r="F487" s="23"/>
      <c r="G487" s="7"/>
    </row>
    <row r="488" spans="4:7" x14ac:dyDescent="0.2">
      <c r="D488" s="23"/>
      <c r="E488" s="23"/>
      <c r="F488" s="23"/>
      <c r="G488" s="7"/>
    </row>
    <row r="489" spans="4:7" x14ac:dyDescent="0.2">
      <c r="D489" s="23"/>
      <c r="E489" s="23"/>
      <c r="F489" s="23"/>
      <c r="G489" s="7"/>
    </row>
    <row r="490" spans="4:7" x14ac:dyDescent="0.2">
      <c r="D490" s="23"/>
      <c r="E490" s="23"/>
      <c r="F490" s="23"/>
      <c r="G490" s="7"/>
    </row>
    <row r="491" spans="4:7" x14ac:dyDescent="0.2">
      <c r="D491" s="23"/>
      <c r="E491" s="23"/>
      <c r="F491" s="23"/>
      <c r="G491" s="7"/>
    </row>
    <row r="492" spans="4:7" x14ac:dyDescent="0.2">
      <c r="D492" s="23"/>
      <c r="E492" s="23"/>
      <c r="F492" s="23"/>
      <c r="G492" s="7"/>
    </row>
    <row r="493" spans="4:7" x14ac:dyDescent="0.2">
      <c r="D493" s="23"/>
      <c r="E493" s="23"/>
      <c r="F493" s="23"/>
      <c r="G493" s="7"/>
    </row>
    <row r="494" spans="4:7" x14ac:dyDescent="0.2">
      <c r="D494" s="23"/>
      <c r="E494" s="23"/>
      <c r="F494" s="23"/>
      <c r="G494" s="7"/>
    </row>
    <row r="495" spans="4:7" x14ac:dyDescent="0.2">
      <c r="D495" s="23"/>
      <c r="E495" s="23"/>
      <c r="F495" s="23"/>
      <c r="G495" s="7"/>
    </row>
    <row r="496" spans="4:7" x14ac:dyDescent="0.2">
      <c r="D496" s="23"/>
      <c r="E496" s="23"/>
      <c r="F496" s="23"/>
      <c r="G496" s="7"/>
    </row>
    <row r="497" spans="4:7" x14ac:dyDescent="0.2">
      <c r="D497" s="23"/>
      <c r="E497" s="23"/>
      <c r="F497" s="23"/>
      <c r="G497" s="7"/>
    </row>
    <row r="498" spans="4:7" x14ac:dyDescent="0.2">
      <c r="D498" s="23"/>
      <c r="E498" s="23"/>
      <c r="F498" s="23"/>
      <c r="G498" s="7"/>
    </row>
    <row r="499" spans="4:7" x14ac:dyDescent="0.2">
      <c r="D499" s="23"/>
      <c r="E499" s="23"/>
      <c r="F499" s="23"/>
      <c r="G499" s="7"/>
    </row>
    <row r="500" spans="4:7" x14ac:dyDescent="0.2">
      <c r="D500" s="23"/>
      <c r="E500" s="23"/>
      <c r="F500" s="23"/>
      <c r="G500" s="7"/>
    </row>
    <row r="501" spans="4:7" x14ac:dyDescent="0.2">
      <c r="D501" s="23"/>
      <c r="E501" s="23"/>
      <c r="F501" s="23"/>
      <c r="G501" s="7"/>
    </row>
    <row r="502" spans="4:7" x14ac:dyDescent="0.2">
      <c r="D502" s="23"/>
      <c r="E502" s="23"/>
      <c r="F502" s="23"/>
      <c r="G502" s="7"/>
    </row>
    <row r="503" spans="4:7" x14ac:dyDescent="0.2">
      <c r="D503" s="23"/>
      <c r="E503" s="23"/>
      <c r="F503" s="23"/>
      <c r="G503" s="7"/>
    </row>
    <row r="504" spans="4:7" x14ac:dyDescent="0.2">
      <c r="D504" s="23"/>
      <c r="E504" s="23"/>
      <c r="F504" s="23"/>
      <c r="G504" s="7"/>
    </row>
    <row r="505" spans="4:7" x14ac:dyDescent="0.2">
      <c r="D505" s="23"/>
      <c r="E505" s="23"/>
      <c r="F505" s="23"/>
      <c r="G505" s="7"/>
    </row>
    <row r="506" spans="4:7" x14ac:dyDescent="0.2">
      <c r="D506" s="23"/>
      <c r="E506" s="23"/>
      <c r="F506" s="23"/>
      <c r="G506" s="7"/>
    </row>
    <row r="507" spans="4:7" x14ac:dyDescent="0.2">
      <c r="E507" s="25" t="str">
        <f>IF(B3="","",IF(D507&gt;Results!$C$17,"Improve",IF(D507&lt;-Results!$C$17,"Deteriorate","Nochange")))</f>
        <v/>
      </c>
      <c r="G507" s="7"/>
    </row>
    <row r="508" spans="4:7" x14ac:dyDescent="0.2">
      <c r="E508" s="25" t="e">
        <f>IF(#REF!="","",IF(D508&gt;Results!$C$17,"Improve",IF(D508&lt;-Results!$C$17,"Deteriorate","Nochange")))</f>
        <v>#REF!</v>
      </c>
      <c r="G508" s="7"/>
    </row>
    <row r="509" spans="4:7" x14ac:dyDescent="0.2">
      <c r="G509" s="7"/>
    </row>
  </sheetData>
  <conditionalFormatting sqref="E2">
    <cfRule type="containsText" dxfId="12" priority="14" operator="containsText" text="Nochange">
      <formula>NOT(ISERROR(SEARCH("Nochange",E2)))</formula>
    </cfRule>
    <cfRule type="containsText" dxfId="11" priority="15" operator="containsText" text="Improve">
      <formula>NOT(ISERROR(SEARCH("Improve",E2)))</formula>
    </cfRule>
    <cfRule type="containsText" dxfId="10" priority="16" operator="containsText" text="Deteriorate">
      <formula>NOT(ISERROR(SEARCH("Deteriorate",E2)))</formula>
    </cfRule>
  </conditionalFormatting>
  <conditionalFormatting sqref="F2">
    <cfRule type="containsText" dxfId="9" priority="12" operator="containsText" text="CSC">
      <formula>NOT(ISERROR(SEARCH("CSC",F2)))</formula>
    </cfRule>
    <cfRule type="containsText" dxfId="8" priority="13" operator="containsText" text="FALSE">
      <formula>NOT(ISERROR(SEARCH("FALSE",F2)))</formula>
    </cfRule>
  </conditionalFormatting>
  <conditionalFormatting sqref="F2 F507">
    <cfRule type="containsText" dxfId="7" priority="7" operator="containsText" text="False">
      <formula>NOT(ISERROR(SEARCH("False",F2)))</formula>
    </cfRule>
    <cfRule type="containsText" dxfId="6" priority="8" operator="containsText" text="CSC">
      <formula>NOT(ISERROR(SEARCH("CSC",F2)))</formula>
    </cfRule>
  </conditionalFormatting>
  <conditionalFormatting sqref="C32">
    <cfRule type="cellIs" dxfId="5" priority="6" operator="equal">
      <formula>#VALUE!</formula>
    </cfRule>
  </conditionalFormatting>
  <conditionalFormatting sqref="C15:C37">
    <cfRule type="containsText" dxfId="4" priority="5" operator="containsText" text="#VALUE!">
      <formula>NOT(ISERROR(SEARCH("#VALUE!",C15)))</formula>
    </cfRule>
  </conditionalFormatting>
  <conditionalFormatting sqref="C32:C34">
    <cfRule type="containsText" dxfId="3" priority="4" operator="containsText" text="#">
      <formula>NOT(ISERROR(SEARCH("#",C32)))</formula>
    </cfRule>
  </conditionalFormatting>
  <conditionalFormatting sqref="C11">
    <cfRule type="containsText" dxfId="2" priority="1" operator="containsText" text="Nochange">
      <formula>NOT(ISERROR(SEARCH("Nochange",C11)))</formula>
    </cfRule>
    <cfRule type="containsText" dxfId="1" priority="2" operator="containsText" text="Improve">
      <formula>NOT(ISERROR(SEARCH("Improve",C11)))</formula>
    </cfRule>
    <cfRule type="containsText" dxfId="0" priority="3" operator="containsText" text="Deteriorate">
      <formula>NOT(ISERROR(SEARCH("Deteriorate",C11)))</formula>
    </cfRule>
  </conditionalFormatting>
  <dataValidations xWindow="1127" yWindow="361" count="3">
    <dataValidation type="list" allowBlank="1" showInputMessage="1" showErrorMessage="1" promptTitle="Measure direction" prompt="If a decrease in the score reflects an improvement then select Decrease_x000a_If an increase in the score reflects an improvement then select Increase" sqref="C19" xr:uid="{00000000-0002-0000-0000-000000000000}">
      <formula1>"Increase, Decrease"</formula1>
    </dataValidation>
    <dataValidation allowBlank="1" showInputMessage="1" showErrorMessage="1" promptTitle="Choose one of the following" sqref="B32:B35" xr:uid="{00000000-0002-0000-0000-000001000000}"/>
    <dataValidation type="list" allowBlank="1" showInputMessage="1" showErrorMessage="1" promptTitle="Select the criterion" sqref="C37" xr:uid="{00000000-0002-0000-0000-000002000000}">
      <formula1>(B32:B35)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minmax_axes">
                <anchor moveWithCells="1">
                  <from>
                    <xdr:col>1</xdr:col>
                    <xdr:colOff>342900</xdr:colOff>
                    <xdr:row>39</xdr:row>
                    <xdr:rowOff>0</xdr:rowOff>
                  </from>
                  <to>
                    <xdr:col>2</xdr:col>
                    <xdr:colOff>508000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23"/>
  <sheetViews>
    <sheetView workbookViewId="0">
      <selection activeCell="C17" sqref="C17"/>
    </sheetView>
  </sheetViews>
  <sheetFormatPr baseColWidth="10" defaultColWidth="9.1640625" defaultRowHeight="14" x14ac:dyDescent="0.2"/>
  <cols>
    <col min="1" max="1" width="9.1640625" style="1"/>
    <col min="2" max="2" width="26.6640625" style="1" customWidth="1"/>
    <col min="3" max="3" width="14.5" style="1" customWidth="1"/>
    <col min="4" max="16384" width="9.1640625" style="1"/>
  </cols>
  <sheetData>
    <row r="2" spans="2:7" x14ac:dyDescent="0.2">
      <c r="B2" s="4"/>
      <c r="C2" s="4"/>
    </row>
    <row r="3" spans="2:7" ht="16" x14ac:dyDescent="0.2">
      <c r="B3" s="2" t="s">
        <v>11</v>
      </c>
      <c r="C3" s="3">
        <f>Data!C15</f>
        <v>0</v>
      </c>
    </row>
    <row r="4" spans="2:7" x14ac:dyDescent="0.2">
      <c r="B4" s="37" t="s">
        <v>13</v>
      </c>
      <c r="C4" s="4"/>
    </row>
    <row r="5" spans="2:7" x14ac:dyDescent="0.2">
      <c r="B5" s="4" t="s">
        <v>12</v>
      </c>
      <c r="C5" s="5" t="str">
        <f>Data!C37</f>
        <v>Criterion c</v>
      </c>
    </row>
    <row r="6" spans="2:7" x14ac:dyDescent="0.2">
      <c r="B6" s="4"/>
      <c r="C6" s="4"/>
    </row>
    <row r="7" spans="2:7" x14ac:dyDescent="0.2">
      <c r="B7" s="2"/>
      <c r="C7" s="4"/>
    </row>
    <row r="8" spans="2:7" x14ac:dyDescent="0.2">
      <c r="B8" s="5"/>
      <c r="C8" s="4"/>
    </row>
    <row r="9" spans="2:7" x14ac:dyDescent="0.2">
      <c r="B9" s="5"/>
      <c r="C9" s="6"/>
    </row>
    <row r="10" spans="2:7" x14ac:dyDescent="0.2">
      <c r="B10" s="5"/>
      <c r="C10" s="6"/>
    </row>
    <row r="11" spans="2:7" x14ac:dyDescent="0.2">
      <c r="B11" s="5"/>
      <c r="C11" s="6"/>
    </row>
    <row r="12" spans="2:7" x14ac:dyDescent="0.2">
      <c r="B12" s="5"/>
      <c r="C12" s="36"/>
      <c r="G12" s="1" t="s">
        <v>23</v>
      </c>
    </row>
    <row r="13" spans="2:7" x14ac:dyDescent="0.2">
      <c r="B13" s="5"/>
      <c r="C13" s="6"/>
    </row>
    <row r="14" spans="2:7" x14ac:dyDescent="0.2">
      <c r="B14" s="4"/>
      <c r="C14" s="4"/>
    </row>
    <row r="15" spans="2:7" x14ac:dyDescent="0.2">
      <c r="B15" s="2" t="s">
        <v>16</v>
      </c>
      <c r="C15" s="4"/>
    </row>
    <row r="16" spans="2:7" x14ac:dyDescent="0.2">
      <c r="B16" s="5" t="s">
        <v>15</v>
      </c>
      <c r="C16" s="6">
        <f>Data!C27*SQRT(1-Data!C23)</f>
        <v>0</v>
      </c>
    </row>
    <row r="17" spans="2:3" x14ac:dyDescent="0.2">
      <c r="B17" s="5" t="s">
        <v>14</v>
      </c>
      <c r="C17" s="6">
        <f>1.96*SQRT(2*C16*C16)</f>
        <v>0</v>
      </c>
    </row>
    <row r="18" spans="2:3" x14ac:dyDescent="0.2">
      <c r="B18" s="4"/>
      <c r="C18" s="4"/>
    </row>
    <row r="19" spans="2:3" x14ac:dyDescent="0.2">
      <c r="B19" s="5"/>
      <c r="C19" s="4"/>
    </row>
    <row r="20" spans="2:3" x14ac:dyDescent="0.2">
      <c r="B20" s="42"/>
    </row>
    <row r="21" spans="2:3" x14ac:dyDescent="0.2">
      <c r="B21" s="42"/>
    </row>
    <row r="22" spans="2:3" x14ac:dyDescent="0.2">
      <c r="C22" s="1" t="s">
        <v>51</v>
      </c>
    </row>
    <row r="23" spans="2:3" x14ac:dyDescent="0.2">
      <c r="B23" s="4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1"/>
  <sheetViews>
    <sheetView workbookViewId="0">
      <selection activeCell="H18" sqref="H18"/>
    </sheetView>
  </sheetViews>
  <sheetFormatPr baseColWidth="10" defaultColWidth="8.83203125" defaultRowHeight="13" x14ac:dyDescent="0.15"/>
  <cols>
    <col min="1" max="1" width="78.5" customWidth="1"/>
    <col min="8" max="8" width="15.83203125" customWidth="1"/>
    <col min="10" max="10" width="15.5" customWidth="1"/>
    <col min="13" max="13" width="10.83203125" customWidth="1"/>
    <col min="15" max="18" width="9.1640625" customWidth="1"/>
    <col min="19" max="20" width="10.6640625" customWidth="1"/>
  </cols>
  <sheetData>
    <row r="1" spans="1:13" x14ac:dyDescent="0.15">
      <c r="A1" s="38" t="s">
        <v>24</v>
      </c>
      <c r="B1" s="40">
        <f>Data!C17</f>
        <v>0</v>
      </c>
      <c r="D1" s="40">
        <f>Data!C17-Data!C17</f>
        <v>0</v>
      </c>
      <c r="F1" t="s">
        <v>43</v>
      </c>
      <c r="G1" t="s">
        <v>41</v>
      </c>
      <c r="H1" t="s">
        <v>42</v>
      </c>
      <c r="J1" t="s">
        <v>44</v>
      </c>
      <c r="K1" t="s">
        <v>45</v>
      </c>
      <c r="L1" t="s">
        <v>46</v>
      </c>
      <c r="M1" t="s">
        <v>47</v>
      </c>
    </row>
    <row r="2" spans="1:13" x14ac:dyDescent="0.15">
      <c r="A2" s="38" t="s">
        <v>25</v>
      </c>
      <c r="B2" s="39">
        <f>Data!C18</f>
        <v>0</v>
      </c>
      <c r="D2" s="40">
        <f>Data!C18</f>
        <v>0</v>
      </c>
      <c r="F2" t="e">
        <f>IF(Data!C11="Improve",Data!C9,NA())</f>
        <v>#N/A</v>
      </c>
      <c r="G2" t="e">
        <f>IF(Data!C11="No Change",Data!C9,NA())</f>
        <v>#N/A</v>
      </c>
      <c r="H2" t="e">
        <f>IF(Data!$C11="Deteriorate",Data!$C9,NA())</f>
        <v>#N/A</v>
      </c>
      <c r="J2" t="e">
        <f>IF(Data!$C37="Criterion a",Data!C32,NA())</f>
        <v>#N/A</v>
      </c>
      <c r="K2" t="e">
        <f>IF(Data!$C37="Criterion b",Data!C33,NA())</f>
        <v>#N/A</v>
      </c>
      <c r="L2" t="e">
        <f>IF(Data!$C37="Criterion c",Data!C34,NA())</f>
        <v>#DIV/0!</v>
      </c>
      <c r="M2" t="e">
        <f>IF(Data!$C37="External Criterion",Data!C35,NA())</f>
        <v>#N/A</v>
      </c>
    </row>
    <row r="3" spans="1:13" x14ac:dyDescent="0.15">
      <c r="A3" s="38" t="s">
        <v>39</v>
      </c>
      <c r="B3" s="40">
        <f>Data!C27</f>
        <v>0</v>
      </c>
    </row>
    <row r="4" spans="1:13" x14ac:dyDescent="0.15">
      <c r="A4" s="38" t="s">
        <v>26</v>
      </c>
      <c r="B4" s="40">
        <f>Data!C23</f>
        <v>0</v>
      </c>
    </row>
    <row r="5" spans="1:13" x14ac:dyDescent="0.15">
      <c r="A5" s="38" t="s">
        <v>27</v>
      </c>
      <c r="B5">
        <f>'chart-data'!B20</f>
        <v>0</v>
      </c>
    </row>
    <row r="6" spans="1:13" x14ac:dyDescent="0.15">
      <c r="A6" s="38" t="s">
        <v>28</v>
      </c>
      <c r="B6">
        <f>'chart-data'!B21</f>
        <v>0</v>
      </c>
    </row>
    <row r="7" spans="1:13" x14ac:dyDescent="0.15">
      <c r="A7" s="38" t="s">
        <v>29</v>
      </c>
      <c r="B7" s="40">
        <f>Results!C16</f>
        <v>0</v>
      </c>
    </row>
    <row r="8" spans="1:13" x14ac:dyDescent="0.15">
      <c r="A8" s="38" t="s">
        <v>30</v>
      </c>
      <c r="B8">
        <f>SQRT(2*((B7*B7)))</f>
        <v>0</v>
      </c>
    </row>
    <row r="9" spans="1:13" x14ac:dyDescent="0.15">
      <c r="A9" s="38" t="s">
        <v>31</v>
      </c>
      <c r="B9" s="40">
        <f>Results!C17</f>
        <v>0</v>
      </c>
    </row>
    <row r="10" spans="1:13" x14ac:dyDescent="0.15">
      <c r="A10" s="38" t="s">
        <v>32</v>
      </c>
      <c r="B10">
        <f>1.96*B8</f>
        <v>0</v>
      </c>
      <c r="I10" t="s">
        <v>61</v>
      </c>
      <c r="J10" t="s">
        <v>62</v>
      </c>
      <c r="L10" t="s">
        <v>61</v>
      </c>
      <c r="M10" t="s">
        <v>62</v>
      </c>
    </row>
    <row r="11" spans="1:13" ht="14" x14ac:dyDescent="0.2">
      <c r="A11" s="38" t="s">
        <v>33</v>
      </c>
      <c r="B11">
        <f>-B10</f>
        <v>0</v>
      </c>
      <c r="H11" t="s">
        <v>63</v>
      </c>
      <c r="I11" s="23" t="b">
        <f>IF(Data!$C$19="increase",IF(Data!$C$9&gt;Data!$C$32,IF(Data!$C$11="Improve","CSC Met","CSC Not Met")))</f>
        <v>0</v>
      </c>
      <c r="J11" s="23" t="b">
        <f>IF(Data!$C$19="Decrease",IF(Data!$C$9&lt;Data!$C$32,IF(Data!$C$11="Improve","CSC Met","CSC Not Met")))</f>
        <v>0</v>
      </c>
      <c r="K11" s="49" t="s">
        <v>18</v>
      </c>
      <c r="L11" s="48" t="str">
        <f t="shared" ref="L11:M14" si="0">IF(I11="CSC Met",I11,"CSC Not Met")</f>
        <v>CSC Not Met</v>
      </c>
      <c r="M11" s="48" t="str">
        <f t="shared" si="0"/>
        <v>CSC Not Met</v>
      </c>
    </row>
    <row r="12" spans="1:13" ht="14" x14ac:dyDescent="0.2">
      <c r="A12" s="38" t="s">
        <v>34</v>
      </c>
      <c r="B12" s="40">
        <f>SUM(B2,B10)</f>
        <v>0</v>
      </c>
      <c r="H12" t="s">
        <v>64</v>
      </c>
      <c r="I12" s="23" t="b">
        <f>IF(Data!$C$19="increase",IF(Data!$C$9&gt;Data!$C$33,IF(Data!$C$11="Improve","CSC Met","CSC Not Met")))</f>
        <v>0</v>
      </c>
      <c r="J12" s="23" t="b">
        <f>IF(Data!$C$19="Decrease",IF(Data!$C$9&lt;Data!$C$33,IF(Data!$C$11="Improve","CSC Met","CSC Not Met")))</f>
        <v>0</v>
      </c>
      <c r="K12" s="49" t="s">
        <v>19</v>
      </c>
      <c r="L12" s="48" t="str">
        <f t="shared" si="0"/>
        <v>CSC Not Met</v>
      </c>
      <c r="M12" s="48" t="str">
        <f t="shared" si="0"/>
        <v>CSC Not Met</v>
      </c>
    </row>
    <row r="13" spans="1:13" ht="14" x14ac:dyDescent="0.2">
      <c r="A13" s="38" t="s">
        <v>35</v>
      </c>
      <c r="B13" s="40">
        <f>SUM(B2,B11)</f>
        <v>0</v>
      </c>
      <c r="H13" t="s">
        <v>65</v>
      </c>
      <c r="I13" s="23" t="e">
        <f>IF(Data!$C$19="increase",IF(Data!$C$9&gt;Data!$C$34,IF(Data!$C$11="Improve","CSC Met","CSC Not Met")))</f>
        <v>#DIV/0!</v>
      </c>
      <c r="J13" s="23" t="b">
        <f>IF(Data!$C$19="Decrease",IF(Data!$C$9&lt;Data!$C$34,IF(Data!$C$11="Improve","CSC Met","CSC Not Met")))</f>
        <v>0</v>
      </c>
      <c r="K13" s="49" t="s">
        <v>20</v>
      </c>
      <c r="L13" s="48" t="e">
        <f t="shared" si="0"/>
        <v>#DIV/0!</v>
      </c>
      <c r="M13" s="48" t="str">
        <f t="shared" si="0"/>
        <v>CSC Not Met</v>
      </c>
    </row>
    <row r="14" spans="1:13" ht="14" x14ac:dyDescent="0.2">
      <c r="A14" s="38" t="s">
        <v>36</v>
      </c>
      <c r="B14">
        <f>Data!C32</f>
        <v>0</v>
      </c>
      <c r="H14" t="s">
        <v>66</v>
      </c>
      <c r="I14" s="23" t="b">
        <f>IF(Data!$C$19="increase",IF(Data!$C$9&gt;Data!$C$35,IF(Data!$C$11="Improve","CSC Met","CSC Not Met")))</f>
        <v>0</v>
      </c>
      <c r="J14" s="23" t="b">
        <f>IF(Data!$C$19="Decrease",IF(Data!$C$9&lt;Data!$C$35,IF(Data!$C$11="Improve","CSC Met","CSC Not Met")))</f>
        <v>0</v>
      </c>
      <c r="K14" s="49" t="s">
        <v>67</v>
      </c>
      <c r="L14" s="48" t="str">
        <f t="shared" si="0"/>
        <v>CSC Not Met</v>
      </c>
      <c r="M14" s="48" t="str">
        <f t="shared" si="0"/>
        <v>CSC Not Met</v>
      </c>
    </row>
    <row r="15" spans="1:13" x14ac:dyDescent="0.15">
      <c r="A15" s="38" t="s">
        <v>37</v>
      </c>
      <c r="B15">
        <f>Data!C33</f>
        <v>0</v>
      </c>
    </row>
    <row r="16" spans="1:13" x14ac:dyDescent="0.15">
      <c r="A16" s="38" t="s">
        <v>40</v>
      </c>
      <c r="B16" s="40" t="e">
        <f>Data!C34</f>
        <v>#DIV/0!</v>
      </c>
    </row>
    <row r="17" spans="1:12" x14ac:dyDescent="0.15">
      <c r="A17" s="38" t="s">
        <v>21</v>
      </c>
      <c r="B17">
        <f>Data!C35</f>
        <v>0</v>
      </c>
      <c r="H17" t="s">
        <v>70</v>
      </c>
      <c r="J17" t="s">
        <v>68</v>
      </c>
      <c r="L17" t="s">
        <v>69</v>
      </c>
    </row>
    <row r="18" spans="1:12" x14ac:dyDescent="0.15">
      <c r="A18" s="38" t="s">
        <v>38</v>
      </c>
      <c r="B18" s="40">
        <f>B1-2</f>
        <v>-2</v>
      </c>
      <c r="H18" s="48" t="e">
        <f>IF(Data!$C$19="Increase",J18,L18)</f>
        <v>#DIV/0!</v>
      </c>
      <c r="J18" t="e">
        <f>VLOOKUP(Data!$C$37,K10:M14,2,0)</f>
        <v>#DIV/0!</v>
      </c>
      <c r="L18" t="str">
        <f>VLOOKUP(Data!$C$37,K10:M14,3,0)</f>
        <v>CSC Not Met</v>
      </c>
    </row>
    <row r="19" spans="1:12" x14ac:dyDescent="0.15">
      <c r="A19" s="38" t="s">
        <v>50</v>
      </c>
      <c r="B19" t="str">
        <f>"Plot for " &amp;Data!$C15 &amp;" using " &amp;Data!$C37</f>
        <v>Plot for  using Criterion c</v>
      </c>
    </row>
    <row r="20" spans="1:12" ht="14" x14ac:dyDescent="0.2">
      <c r="A20" s="41" t="s">
        <v>48</v>
      </c>
      <c r="B20" s="41">
        <f>Data!C8</f>
        <v>0</v>
      </c>
    </row>
    <row r="21" spans="1:12" ht="14" x14ac:dyDescent="0.2">
      <c r="A21" s="41" t="s">
        <v>49</v>
      </c>
      <c r="B21" s="41">
        <f>Data!C9</f>
        <v>0</v>
      </c>
    </row>
  </sheetData>
  <sheetProtection selectLockedCells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Results</vt:lpstr>
      <vt:lpstr>chart-data</vt:lpstr>
    </vt:vector>
  </TitlesOfParts>
  <Company>University of Leeds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Morley</dc:creator>
  <cp:lastModifiedBy>Melanie Simmonds-Buckley</cp:lastModifiedBy>
  <cp:lastPrinted>2013-10-11T15:27:06Z</cp:lastPrinted>
  <dcterms:created xsi:type="dcterms:W3CDTF">2013-10-10T15:18:44Z</dcterms:created>
  <dcterms:modified xsi:type="dcterms:W3CDTF">2020-10-21T11:33:51Z</dcterms:modified>
</cp:coreProperties>
</file>